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lundstrom/Desktop/"/>
    </mc:Choice>
  </mc:AlternateContent>
  <xr:revisionPtr revIDLastSave="0" documentId="8_{3EB10D72-0212-1543-968F-D488E5887C7F}" xr6:coauthVersionLast="47" xr6:coauthVersionMax="47" xr10:uidLastSave="{00000000-0000-0000-0000-000000000000}"/>
  <bookViews>
    <workbookView xWindow="0" yWindow="0" windowWidth="38400" windowHeight="21600" activeTab="2" xr2:uid="{DF85E7EC-DDC7-4242-B2A5-C36C1A0655F1}"/>
  </bookViews>
  <sheets>
    <sheet name="Summering" sheetId="2" r:id="rId1"/>
    <sheet name="SE4" sheetId="1" r:id="rId2"/>
    <sheet name="SE3" sheetId="3" r:id="rId3"/>
    <sheet name="SE2" sheetId="5" r:id="rId4"/>
    <sheet name="SE1" sheetId="6" r:id="rId5"/>
    <sheet name="Elpriser" sheetId="4" r:id="rId6"/>
    <sheet name="Används ej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9" i="1"/>
  <c r="I8" i="1"/>
  <c r="I7" i="1"/>
  <c r="I6" i="1"/>
  <c r="I5" i="1"/>
  <c r="Z33" i="1"/>
  <c r="H72" i="1"/>
  <c r="H71" i="1"/>
  <c r="H66" i="1"/>
  <c r="H65" i="1"/>
  <c r="H64" i="1"/>
  <c r="H63" i="1"/>
  <c r="H62" i="1"/>
  <c r="H67" i="1" l="1"/>
  <c r="G67" i="1"/>
  <c r="F67" i="1"/>
  <c r="H4" i="1"/>
  <c r="I4" i="1" s="1"/>
  <c r="H57" i="1"/>
  <c r="G57" i="1"/>
  <c r="H58" i="1" s="1"/>
  <c r="F57" i="1"/>
  <c r="L24" i="1"/>
  <c r="AH39" i="1"/>
  <c r="AK39" i="1"/>
  <c r="AJ39" i="1"/>
  <c r="AI39" i="1"/>
  <c r="AG39" i="1"/>
  <c r="AF39" i="1"/>
  <c r="AE39" i="1"/>
  <c r="AD39" i="1"/>
  <c r="AC39" i="1"/>
  <c r="AB39" i="1"/>
  <c r="AA39" i="1"/>
  <c r="Z39" i="1"/>
  <c r="AG33" i="1"/>
  <c r="Q11" i="1" s="1"/>
  <c r="H20" i="1"/>
  <c r="P15" i="6"/>
  <c r="P14" i="6"/>
  <c r="P13" i="6"/>
  <c r="P12" i="6"/>
  <c r="P11" i="6"/>
  <c r="P10" i="6"/>
  <c r="O9" i="6"/>
  <c r="O5" i="6"/>
  <c r="P4" i="6"/>
  <c r="U33" i="6"/>
  <c r="S33" i="6"/>
  <c r="V32" i="6"/>
  <c r="T32" i="6"/>
  <c r="V31" i="6"/>
  <c r="T31" i="6"/>
  <c r="V30" i="6"/>
  <c r="T30" i="6"/>
  <c r="V29" i="6"/>
  <c r="T29" i="6"/>
  <c r="V28" i="6"/>
  <c r="T28" i="6"/>
  <c r="V27" i="6"/>
  <c r="T27" i="6"/>
  <c r="V26" i="6"/>
  <c r="T26" i="6"/>
  <c r="H26" i="6"/>
  <c r="V25" i="6"/>
  <c r="T25" i="6"/>
  <c r="T35" i="6" s="1"/>
  <c r="V24" i="6"/>
  <c r="T24" i="6"/>
  <c r="V23" i="6"/>
  <c r="T23" i="6"/>
  <c r="V22" i="6"/>
  <c r="T22" i="6"/>
  <c r="V21" i="6"/>
  <c r="T21" i="6"/>
  <c r="H15" i="6"/>
  <c r="H14" i="6"/>
  <c r="H13" i="6"/>
  <c r="H12" i="6"/>
  <c r="H11" i="6"/>
  <c r="O10" i="6"/>
  <c r="H10" i="6"/>
  <c r="P9" i="6"/>
  <c r="H9" i="6"/>
  <c r="P8" i="6"/>
  <c r="O8" i="6"/>
  <c r="H8" i="6"/>
  <c r="P7" i="6"/>
  <c r="O7" i="6"/>
  <c r="H7" i="6"/>
  <c r="P6" i="6"/>
  <c r="O6" i="6"/>
  <c r="H6" i="6"/>
  <c r="H5" i="6"/>
  <c r="H4" i="6"/>
  <c r="H21" i="1"/>
  <c r="H22" i="1"/>
  <c r="H23" i="1"/>
  <c r="P15" i="5"/>
  <c r="P14" i="5"/>
  <c r="O13" i="5"/>
  <c r="O15" i="5"/>
  <c r="O9" i="5"/>
  <c r="P7" i="5"/>
  <c r="O6" i="5"/>
  <c r="P5" i="5"/>
  <c r="P4" i="5"/>
  <c r="U33" i="5"/>
  <c r="S33" i="5"/>
  <c r="V32" i="5"/>
  <c r="T32" i="5"/>
  <c r="V31" i="5"/>
  <c r="T31" i="5"/>
  <c r="V30" i="5"/>
  <c r="T30" i="5"/>
  <c r="V29" i="5"/>
  <c r="T29" i="5"/>
  <c r="V28" i="5"/>
  <c r="T28" i="5"/>
  <c r="V27" i="5"/>
  <c r="T27" i="5"/>
  <c r="V26" i="5"/>
  <c r="T26" i="5"/>
  <c r="H26" i="5"/>
  <c r="V25" i="5"/>
  <c r="T25" i="5"/>
  <c r="T35" i="5" s="1"/>
  <c r="V24" i="5"/>
  <c r="T24" i="5"/>
  <c r="V23" i="5"/>
  <c r="T23" i="5"/>
  <c r="V22" i="5"/>
  <c r="T22" i="5"/>
  <c r="V21" i="5"/>
  <c r="T21" i="5"/>
  <c r="H15" i="5"/>
  <c r="H14" i="5"/>
  <c r="H13" i="5"/>
  <c r="H12" i="5"/>
  <c r="P11" i="5"/>
  <c r="O11" i="5"/>
  <c r="H11" i="5"/>
  <c r="P10" i="5"/>
  <c r="O10" i="5"/>
  <c r="H10" i="5"/>
  <c r="P9" i="5"/>
  <c r="H9" i="5"/>
  <c r="P8" i="5"/>
  <c r="O8" i="5"/>
  <c r="H8" i="5"/>
  <c r="H7" i="5"/>
  <c r="H6" i="5"/>
  <c r="H5" i="5"/>
  <c r="H4" i="5"/>
  <c r="H20" i="3"/>
  <c r="P15" i="3"/>
  <c r="P14" i="3"/>
  <c r="P13" i="3"/>
  <c r="O15" i="3"/>
  <c r="P11" i="3"/>
  <c r="P10" i="3"/>
  <c r="O9" i="3"/>
  <c r="P8" i="3"/>
  <c r="P7" i="3"/>
  <c r="P6" i="3"/>
  <c r="O5" i="3"/>
  <c r="P4" i="3"/>
  <c r="U33" i="3"/>
  <c r="S33" i="3"/>
  <c r="V32" i="3"/>
  <c r="T32" i="3"/>
  <c r="V31" i="3"/>
  <c r="T31" i="3"/>
  <c r="V30" i="3"/>
  <c r="T30" i="3"/>
  <c r="V29" i="3"/>
  <c r="T29" i="3"/>
  <c r="V28" i="3"/>
  <c r="T28" i="3"/>
  <c r="V27" i="3"/>
  <c r="T27" i="3"/>
  <c r="V26" i="3"/>
  <c r="T26" i="3"/>
  <c r="H26" i="3"/>
  <c r="V25" i="3"/>
  <c r="T25" i="3"/>
  <c r="T35" i="3" s="1"/>
  <c r="K20" i="3" s="1"/>
  <c r="V24" i="3"/>
  <c r="T24" i="3"/>
  <c r="V23" i="3"/>
  <c r="T23" i="3"/>
  <c r="V22" i="3"/>
  <c r="T22" i="3"/>
  <c r="V21" i="3"/>
  <c r="T21" i="3"/>
  <c r="H15" i="3"/>
  <c r="H14" i="3"/>
  <c r="H13" i="3"/>
  <c r="H12" i="3"/>
  <c r="H11" i="3"/>
  <c r="H10" i="3"/>
  <c r="H9" i="3"/>
  <c r="H8" i="3"/>
  <c r="H7" i="3"/>
  <c r="H6" i="3"/>
  <c r="H5" i="3"/>
  <c r="H4" i="3"/>
  <c r="AK33" i="1"/>
  <c r="Q15" i="1" s="1"/>
  <c r="AJ33" i="1"/>
  <c r="Q14" i="1" s="1"/>
  <c r="AI33" i="1"/>
  <c r="Q13" i="1" s="1"/>
  <c r="AH33" i="1"/>
  <c r="P15" i="1" s="1"/>
  <c r="AF33" i="1"/>
  <c r="Q10" i="1" s="1"/>
  <c r="AE33" i="1"/>
  <c r="P9" i="1" s="1"/>
  <c r="AD33" i="1"/>
  <c r="Q8" i="1" s="1"/>
  <c r="AC33" i="1"/>
  <c r="Q7" i="1" s="1"/>
  <c r="AB33" i="1"/>
  <c r="Q6" i="1" s="1"/>
  <c r="AA33" i="1"/>
  <c r="Q5" i="1" s="1"/>
  <c r="Q4" i="1"/>
  <c r="H68" i="1" l="1"/>
  <c r="P4" i="1"/>
  <c r="O4" i="6"/>
  <c r="O11" i="6"/>
  <c r="O12" i="6"/>
  <c r="O13" i="6"/>
  <c r="P6" i="5"/>
  <c r="V35" i="5"/>
  <c r="M21" i="5" s="1"/>
  <c r="P12" i="5"/>
  <c r="P13" i="5"/>
  <c r="O12" i="5"/>
  <c r="O4" i="5"/>
  <c r="O7" i="5"/>
  <c r="O7" i="3"/>
  <c r="O11" i="3"/>
  <c r="P9" i="3"/>
  <c r="O10" i="3"/>
  <c r="J20" i="3"/>
  <c r="P12" i="3"/>
  <c r="O13" i="3"/>
  <c r="O6" i="3"/>
  <c r="O12" i="3"/>
  <c r="O4" i="3"/>
  <c r="P5" i="3"/>
  <c r="V33" i="6"/>
  <c r="L6" i="6" s="1"/>
  <c r="V35" i="6"/>
  <c r="L21" i="6" s="1"/>
  <c r="K23" i="6"/>
  <c r="J20" i="6"/>
  <c r="K20" i="6"/>
  <c r="T33" i="6"/>
  <c r="J10" i="6" s="1"/>
  <c r="J22" i="6"/>
  <c r="J4" i="6"/>
  <c r="K13" i="6"/>
  <c r="K11" i="6"/>
  <c r="J13" i="6"/>
  <c r="L13" i="6"/>
  <c r="M13" i="6"/>
  <c r="L7" i="6"/>
  <c r="J21" i="6"/>
  <c r="K14" i="6"/>
  <c r="J8" i="6"/>
  <c r="K8" i="6"/>
  <c r="K5" i="6"/>
  <c r="O14" i="6"/>
  <c r="K22" i="6"/>
  <c r="J15" i="6"/>
  <c r="J6" i="6"/>
  <c r="K9" i="6"/>
  <c r="L12" i="6"/>
  <c r="M15" i="6"/>
  <c r="P5" i="6"/>
  <c r="J12" i="6"/>
  <c r="J9" i="6"/>
  <c r="K6" i="6"/>
  <c r="O15" i="6"/>
  <c r="J23" i="6"/>
  <c r="K21" i="6"/>
  <c r="V33" i="5"/>
  <c r="M8" i="5" s="1"/>
  <c r="J20" i="5"/>
  <c r="K20" i="5"/>
  <c r="T33" i="5"/>
  <c r="K5" i="5" s="1"/>
  <c r="K9" i="5"/>
  <c r="O48" i="5" s="1"/>
  <c r="G122" i="2" s="1"/>
  <c r="J10" i="5"/>
  <c r="K13" i="5"/>
  <c r="M20" i="5"/>
  <c r="M23" i="5"/>
  <c r="L20" i="5"/>
  <c r="M11" i="5"/>
  <c r="M22" i="5"/>
  <c r="L23" i="5"/>
  <c r="M13" i="5"/>
  <c r="M10" i="5"/>
  <c r="M7" i="5"/>
  <c r="L8" i="5"/>
  <c r="L10" i="5"/>
  <c r="J7" i="5"/>
  <c r="K10" i="5"/>
  <c r="J4" i="5"/>
  <c r="K4" i="5"/>
  <c r="L7" i="5"/>
  <c r="J21" i="5"/>
  <c r="L4" i="5"/>
  <c r="K21" i="5"/>
  <c r="J22" i="5"/>
  <c r="K22" i="5"/>
  <c r="L22" i="5"/>
  <c r="O5" i="5"/>
  <c r="J15" i="5"/>
  <c r="J12" i="5"/>
  <c r="K15" i="5"/>
  <c r="K12" i="5"/>
  <c r="L15" i="5"/>
  <c r="J6" i="5"/>
  <c r="L12" i="5"/>
  <c r="L9" i="5"/>
  <c r="L6" i="5"/>
  <c r="M9" i="5"/>
  <c r="K23" i="5"/>
  <c r="O14" i="5"/>
  <c r="J23" i="5"/>
  <c r="V35" i="3"/>
  <c r="L21" i="3" s="1"/>
  <c r="V33" i="3"/>
  <c r="M6" i="3" s="1"/>
  <c r="T33" i="3"/>
  <c r="K12" i="3" s="1"/>
  <c r="L5" i="3"/>
  <c r="K7" i="3"/>
  <c r="J21" i="3"/>
  <c r="M7" i="3"/>
  <c r="K21" i="3"/>
  <c r="J11" i="3"/>
  <c r="O14" i="3"/>
  <c r="J22" i="3"/>
  <c r="K22" i="3"/>
  <c r="O8" i="3"/>
  <c r="M10" i="3"/>
  <c r="M4" i="3"/>
  <c r="J23" i="3"/>
  <c r="K23" i="3"/>
  <c r="P10" i="1"/>
  <c r="P11" i="1"/>
  <c r="P7" i="1"/>
  <c r="P8" i="1"/>
  <c r="P5" i="1"/>
  <c r="P12" i="1"/>
  <c r="Q12" i="1"/>
  <c r="P13" i="1"/>
  <c r="P14" i="1"/>
  <c r="P6" i="1"/>
  <c r="Q9" i="1"/>
  <c r="L22" i="6" l="1"/>
  <c r="M6" i="6"/>
  <c r="M5" i="6"/>
  <c r="M22" i="6"/>
  <c r="L10" i="6"/>
  <c r="M14" i="6"/>
  <c r="M21" i="6"/>
  <c r="M7" i="6"/>
  <c r="L5" i="6"/>
  <c r="L11" i="6"/>
  <c r="L15" i="6"/>
  <c r="M9" i="6"/>
  <c r="L8" i="6"/>
  <c r="M12" i="6"/>
  <c r="L23" i="6"/>
  <c r="L20" i="6"/>
  <c r="L9" i="6"/>
  <c r="M20" i="6"/>
  <c r="M23" i="6"/>
  <c r="M4" i="6"/>
  <c r="L4" i="6"/>
  <c r="J11" i="6"/>
  <c r="M10" i="6"/>
  <c r="L5" i="5"/>
  <c r="L13" i="5"/>
  <c r="J13" i="5"/>
  <c r="J5" i="5"/>
  <c r="J8" i="5"/>
  <c r="K8" i="5"/>
  <c r="K6" i="5"/>
  <c r="O36" i="5" s="1"/>
  <c r="L14" i="5"/>
  <c r="K7" i="5"/>
  <c r="O40" i="5" s="1"/>
  <c r="M15" i="5"/>
  <c r="J9" i="5"/>
  <c r="M14" i="5"/>
  <c r="K11" i="5"/>
  <c r="O56" i="5" s="1"/>
  <c r="M6" i="5"/>
  <c r="K14" i="5"/>
  <c r="O68" i="5" s="1"/>
  <c r="M5" i="5"/>
  <c r="J14" i="5"/>
  <c r="J11" i="5"/>
  <c r="M4" i="5"/>
  <c r="L21" i="5"/>
  <c r="M12" i="5"/>
  <c r="L23" i="3"/>
  <c r="J4" i="3"/>
  <c r="J13" i="3"/>
  <c r="L7" i="3"/>
  <c r="M12" i="3"/>
  <c r="K11" i="3"/>
  <c r="O54" i="3" s="1"/>
  <c r="K14" i="3"/>
  <c r="O68" i="3" s="1"/>
  <c r="L4" i="3"/>
  <c r="M13" i="3"/>
  <c r="L6" i="3"/>
  <c r="L13" i="3"/>
  <c r="M23" i="3"/>
  <c r="K10" i="3"/>
  <c r="O50" i="3" s="1"/>
  <c r="K4" i="3"/>
  <c r="O28" i="3" s="1"/>
  <c r="K5" i="3"/>
  <c r="O32" i="3" s="1"/>
  <c r="K8" i="3"/>
  <c r="O42" i="3" s="1"/>
  <c r="L14" i="3"/>
  <c r="J6" i="3"/>
  <c r="L12" i="3"/>
  <c r="L15" i="3"/>
  <c r="L20" i="3"/>
  <c r="J7" i="3"/>
  <c r="M20" i="3"/>
  <c r="J9" i="3"/>
  <c r="M5" i="3"/>
  <c r="K13" i="3"/>
  <c r="O64" i="3" s="1"/>
  <c r="J15" i="3"/>
  <c r="L22" i="3"/>
  <c r="J10" i="3"/>
  <c r="K9" i="3"/>
  <c r="O48" i="3" s="1"/>
  <c r="M22" i="3"/>
  <c r="L11" i="3"/>
  <c r="J12" i="3"/>
  <c r="J14" i="3"/>
  <c r="M21" i="3"/>
  <c r="M8" i="3"/>
  <c r="L9" i="3"/>
  <c r="J5" i="3"/>
  <c r="K15" i="3"/>
  <c r="O72" i="3" s="1"/>
  <c r="K6" i="3"/>
  <c r="O34" i="3" s="1"/>
  <c r="J8" i="3"/>
  <c r="O46" i="5"/>
  <c r="M11" i="6"/>
  <c r="L14" i="6"/>
  <c r="M8" i="6"/>
  <c r="K7" i="6"/>
  <c r="O40" i="6" s="1"/>
  <c r="K10" i="6"/>
  <c r="O50" i="6" s="1"/>
  <c r="K15" i="6"/>
  <c r="O70" i="6" s="1"/>
  <c r="K4" i="6"/>
  <c r="O26" i="6" s="1"/>
  <c r="J5" i="6"/>
  <c r="J14" i="6"/>
  <c r="J7" i="6"/>
  <c r="K12" i="6"/>
  <c r="O60" i="6" s="1"/>
  <c r="O36" i="6"/>
  <c r="O34" i="6"/>
  <c r="O56" i="6"/>
  <c r="O54" i="6"/>
  <c r="O64" i="6"/>
  <c r="O62" i="6"/>
  <c r="O68" i="6"/>
  <c r="O66" i="6"/>
  <c r="O30" i="6"/>
  <c r="O32" i="6"/>
  <c r="O44" i="6"/>
  <c r="O42" i="6"/>
  <c r="O48" i="6"/>
  <c r="O46" i="6"/>
  <c r="L11" i="5"/>
  <c r="O49" i="5"/>
  <c r="G123" i="2" s="1"/>
  <c r="O26" i="5"/>
  <c r="O28" i="5"/>
  <c r="O30" i="5"/>
  <c r="O32" i="5"/>
  <c r="O44" i="5"/>
  <c r="O42" i="5"/>
  <c r="O60" i="5"/>
  <c r="O58" i="5"/>
  <c r="O72" i="5"/>
  <c r="O70" i="5"/>
  <c r="O50" i="5"/>
  <c r="O52" i="5"/>
  <c r="O64" i="5"/>
  <c r="O62" i="5"/>
  <c r="L8" i="3"/>
  <c r="L10" i="3"/>
  <c r="M11" i="3"/>
  <c r="M9" i="3"/>
  <c r="M15" i="3"/>
  <c r="M14" i="3"/>
  <c r="O38" i="3"/>
  <c r="O40" i="3"/>
  <c r="O60" i="3"/>
  <c r="O58" i="3"/>
  <c r="V33" i="1"/>
  <c r="T33" i="1"/>
  <c r="W32" i="1"/>
  <c r="W31" i="1"/>
  <c r="W30" i="1"/>
  <c r="W29" i="1"/>
  <c r="W28" i="1"/>
  <c r="W27" i="1"/>
  <c r="W26" i="1"/>
  <c r="W25" i="1"/>
  <c r="W24" i="1"/>
  <c r="W23" i="1"/>
  <c r="W22" i="1"/>
  <c r="W21" i="1"/>
  <c r="U32" i="1"/>
  <c r="U31" i="1"/>
  <c r="U30" i="1"/>
  <c r="U29" i="1"/>
  <c r="U28" i="1"/>
  <c r="U27" i="1"/>
  <c r="U26" i="1"/>
  <c r="U25" i="1"/>
  <c r="U24" i="1"/>
  <c r="U23" i="1"/>
  <c r="U22" i="1"/>
  <c r="U21" i="1"/>
  <c r="U33" i="1" s="1"/>
  <c r="H26" i="1"/>
  <c r="O34" i="5" l="1"/>
  <c r="O28" i="6"/>
  <c r="O38" i="5"/>
  <c r="O39" i="5" s="1"/>
  <c r="G113" i="2" s="1"/>
  <c r="O44" i="3"/>
  <c r="O45" i="3" s="1"/>
  <c r="G70" i="2" s="1"/>
  <c r="O52" i="3"/>
  <c r="O30" i="3"/>
  <c r="O31" i="3" s="1"/>
  <c r="G56" i="2" s="1"/>
  <c r="U35" i="1"/>
  <c r="W35" i="1"/>
  <c r="M20" i="1" s="1"/>
  <c r="O52" i="6"/>
  <c r="O53" i="6" s="1"/>
  <c r="G176" i="2" s="1"/>
  <c r="O38" i="6"/>
  <c r="O39" i="6" s="1"/>
  <c r="G162" i="2" s="1"/>
  <c r="O66" i="5"/>
  <c r="G140" i="2" s="1"/>
  <c r="O54" i="5"/>
  <c r="O62" i="3"/>
  <c r="G87" i="2" s="1"/>
  <c r="O46" i="3"/>
  <c r="G71" i="2" s="1"/>
  <c r="O56" i="3"/>
  <c r="O57" i="3" s="1"/>
  <c r="G82" i="2" s="1"/>
  <c r="O70" i="3"/>
  <c r="O71" i="3" s="1"/>
  <c r="G96" i="2" s="1"/>
  <c r="O36" i="3"/>
  <c r="G61" i="2" s="1"/>
  <c r="O66" i="3"/>
  <c r="O67" i="3" s="1"/>
  <c r="G92" i="2" s="1"/>
  <c r="O26" i="3"/>
  <c r="O27" i="3" s="1"/>
  <c r="G52" i="2" s="1"/>
  <c r="O61" i="6"/>
  <c r="G184" i="2" s="1"/>
  <c r="G183" i="2"/>
  <c r="O63" i="6"/>
  <c r="G186" i="2" s="1"/>
  <c r="G185" i="2"/>
  <c r="O65" i="6"/>
  <c r="G188" i="2" s="1"/>
  <c r="G187" i="2"/>
  <c r="O57" i="6"/>
  <c r="G180" i="2" s="1"/>
  <c r="G179" i="2"/>
  <c r="O35" i="6"/>
  <c r="G158" i="2" s="1"/>
  <c r="G157" i="2"/>
  <c r="O51" i="6"/>
  <c r="G174" i="2" s="1"/>
  <c r="G173" i="2"/>
  <c r="O29" i="6"/>
  <c r="G152" i="2" s="1"/>
  <c r="G151" i="2"/>
  <c r="O43" i="6"/>
  <c r="G166" i="2" s="1"/>
  <c r="G165" i="2"/>
  <c r="O45" i="6"/>
  <c r="G168" i="2" s="1"/>
  <c r="G167" i="2"/>
  <c r="O71" i="6"/>
  <c r="G194" i="2" s="1"/>
  <c r="G193" i="2"/>
  <c r="O58" i="6"/>
  <c r="O67" i="6"/>
  <c r="G190" i="2" s="1"/>
  <c r="G189" i="2"/>
  <c r="O55" i="6"/>
  <c r="G178" i="2" s="1"/>
  <c r="G177" i="2"/>
  <c r="O37" i="6"/>
  <c r="G160" i="2" s="1"/>
  <c r="G159" i="2"/>
  <c r="O41" i="6"/>
  <c r="G164" i="2" s="1"/>
  <c r="G163" i="2"/>
  <c r="O27" i="6"/>
  <c r="G150" i="2" s="1"/>
  <c r="G149" i="2"/>
  <c r="O47" i="6"/>
  <c r="G170" i="2" s="1"/>
  <c r="G169" i="2"/>
  <c r="O49" i="6"/>
  <c r="G172" i="2" s="1"/>
  <c r="G171" i="2"/>
  <c r="O33" i="6"/>
  <c r="G156" i="2" s="1"/>
  <c r="G155" i="2"/>
  <c r="O31" i="6"/>
  <c r="G154" i="2" s="1"/>
  <c r="G153" i="2"/>
  <c r="O72" i="6"/>
  <c r="O69" i="6"/>
  <c r="G192" i="2" s="1"/>
  <c r="G191" i="2"/>
  <c r="O55" i="5"/>
  <c r="G129" i="2" s="1"/>
  <c r="G128" i="2"/>
  <c r="O67" i="5"/>
  <c r="G141" i="2" s="1"/>
  <c r="O41" i="5"/>
  <c r="G115" i="2" s="1"/>
  <c r="G114" i="2"/>
  <c r="O47" i="5"/>
  <c r="G121" i="2" s="1"/>
  <c r="G120" i="2"/>
  <c r="O37" i="5"/>
  <c r="G111" i="2" s="1"/>
  <c r="G110" i="2"/>
  <c r="O33" i="5"/>
  <c r="G107" i="2" s="1"/>
  <c r="G106" i="2"/>
  <c r="O69" i="5"/>
  <c r="G143" i="2" s="1"/>
  <c r="G142" i="2"/>
  <c r="O35" i="5"/>
  <c r="G109" i="2" s="1"/>
  <c r="G108" i="2"/>
  <c r="O63" i="5"/>
  <c r="G137" i="2" s="1"/>
  <c r="G136" i="2"/>
  <c r="O53" i="5"/>
  <c r="G127" i="2" s="1"/>
  <c r="G126" i="2"/>
  <c r="O71" i="5"/>
  <c r="G145" i="2" s="1"/>
  <c r="G144" i="2"/>
  <c r="O73" i="5"/>
  <c r="G147" i="2" s="1"/>
  <c r="G146" i="2"/>
  <c r="O59" i="5"/>
  <c r="G133" i="2" s="1"/>
  <c r="G132" i="2"/>
  <c r="O61" i="5"/>
  <c r="G135" i="2" s="1"/>
  <c r="G134" i="2"/>
  <c r="O43" i="5"/>
  <c r="G117" i="2" s="1"/>
  <c r="G116" i="2"/>
  <c r="O45" i="5"/>
  <c r="G119" i="2" s="1"/>
  <c r="G118" i="2"/>
  <c r="O31" i="5"/>
  <c r="G105" i="2" s="1"/>
  <c r="G104" i="2"/>
  <c r="O29" i="5"/>
  <c r="G103" i="2" s="1"/>
  <c r="G102" i="2"/>
  <c r="O57" i="5"/>
  <c r="G131" i="2" s="1"/>
  <c r="G130" i="2"/>
  <c r="O65" i="5"/>
  <c r="G139" i="2" s="1"/>
  <c r="G138" i="2"/>
  <c r="O51" i="5"/>
  <c r="G125" i="2" s="1"/>
  <c r="G124" i="2"/>
  <c r="O27" i="5"/>
  <c r="G101" i="2" s="1"/>
  <c r="G100" i="2"/>
  <c r="O41" i="3"/>
  <c r="G66" i="2" s="1"/>
  <c r="G65" i="2"/>
  <c r="O39" i="3"/>
  <c r="G64" i="2" s="1"/>
  <c r="G63" i="2"/>
  <c r="O53" i="3"/>
  <c r="G78" i="2" s="1"/>
  <c r="G77" i="2"/>
  <c r="O51" i="3"/>
  <c r="G76" i="2" s="1"/>
  <c r="G75" i="2"/>
  <c r="O59" i="3"/>
  <c r="G84" i="2" s="1"/>
  <c r="G83" i="2"/>
  <c r="G55" i="2"/>
  <c r="O61" i="3"/>
  <c r="G86" i="2" s="1"/>
  <c r="G85" i="2"/>
  <c r="O33" i="3"/>
  <c r="G58" i="2" s="1"/>
  <c r="G57" i="2"/>
  <c r="O73" i="3"/>
  <c r="G98" i="2" s="1"/>
  <c r="G97" i="2"/>
  <c r="O65" i="3"/>
  <c r="G90" i="2" s="1"/>
  <c r="G89" i="2"/>
  <c r="O35" i="3"/>
  <c r="G60" i="2" s="1"/>
  <c r="G59" i="2"/>
  <c r="O49" i="3"/>
  <c r="G74" i="2" s="1"/>
  <c r="G73" i="2"/>
  <c r="O55" i="3"/>
  <c r="G80" i="2" s="1"/>
  <c r="G79" i="2"/>
  <c r="O69" i="3"/>
  <c r="G94" i="2" s="1"/>
  <c r="G93" i="2"/>
  <c r="O29" i="3"/>
  <c r="G54" i="2" s="1"/>
  <c r="G53" i="2"/>
  <c r="O43" i="3"/>
  <c r="G68" i="2" s="1"/>
  <c r="G67" i="2"/>
  <c r="K20" i="1"/>
  <c r="W33" i="1"/>
  <c r="G95" i="2" l="1"/>
  <c r="G112" i="2"/>
  <c r="G161" i="2"/>
  <c r="G175" i="2"/>
  <c r="G91" i="2"/>
  <c r="O37" i="3"/>
  <c r="G62" i="2" s="1"/>
  <c r="O47" i="3"/>
  <c r="G72" i="2" s="1"/>
  <c r="O63" i="3"/>
  <c r="G88" i="2" s="1"/>
  <c r="G69" i="2"/>
  <c r="G51" i="2"/>
  <c r="G81" i="2"/>
  <c r="O73" i="6"/>
  <c r="G196" i="2" s="1"/>
  <c r="G195" i="2"/>
  <c r="O59" i="6"/>
  <c r="G182" i="2" s="1"/>
  <c r="G181" i="2"/>
  <c r="K23" i="1"/>
  <c r="N23" i="1"/>
  <c r="K22" i="1"/>
  <c r="L23" i="1"/>
  <c r="M23" i="1"/>
  <c r="M21" i="1"/>
  <c r="K21" i="1"/>
  <c r="L21" i="1"/>
  <c r="N21" i="1"/>
  <c r="N22" i="1"/>
  <c r="L22" i="1"/>
  <c r="L20" i="1"/>
  <c r="M22" i="1"/>
  <c r="N20" i="1"/>
  <c r="H15" i="1" l="1"/>
  <c r="H14" i="1"/>
  <c r="H13" i="1"/>
  <c r="H12" i="1"/>
  <c r="H11" i="1"/>
  <c r="I11" i="1" s="1"/>
  <c r="H10" i="1"/>
  <c r="I10" i="1" s="1"/>
  <c r="H9" i="1"/>
  <c r="H8" i="1"/>
  <c r="H7" i="1"/>
  <c r="H6" i="1"/>
  <c r="H5" i="1"/>
  <c r="L4" i="1" l="1"/>
  <c r="P26" i="1" s="1"/>
  <c r="P27" i="1" s="1"/>
  <c r="K4" i="1"/>
  <c r="K5" i="1"/>
  <c r="M5" i="1"/>
  <c r="M4" i="1"/>
  <c r="K6" i="1"/>
  <c r="M6" i="1"/>
  <c r="K7" i="1"/>
  <c r="M7" i="1"/>
  <c r="M8" i="1"/>
  <c r="K8" i="1"/>
  <c r="K9" i="1"/>
  <c r="M9" i="1"/>
  <c r="M10" i="1"/>
  <c r="K10" i="1"/>
  <c r="K11" i="1"/>
  <c r="M11" i="1"/>
  <c r="M12" i="1"/>
  <c r="K12" i="1"/>
  <c r="K13" i="1"/>
  <c r="M13" i="1"/>
  <c r="M14" i="1"/>
  <c r="K14" i="1"/>
  <c r="M15" i="1"/>
  <c r="K15" i="1"/>
  <c r="L13" i="1"/>
  <c r="N13" i="1"/>
  <c r="L14" i="1"/>
  <c r="N14" i="1"/>
  <c r="L15" i="1"/>
  <c r="P72" i="1" s="1"/>
  <c r="G48" i="2" s="1"/>
  <c r="N15" i="1"/>
  <c r="N4" i="1"/>
  <c r="N5" i="1"/>
  <c r="L5" i="1"/>
  <c r="N6" i="1"/>
  <c r="L6" i="1"/>
  <c r="P34" i="1" s="1"/>
  <c r="G10" i="2" s="1"/>
  <c r="N7" i="1"/>
  <c r="L7" i="1"/>
  <c r="N8" i="1"/>
  <c r="L8" i="1"/>
  <c r="N9" i="1"/>
  <c r="L9" i="1"/>
  <c r="N10" i="1"/>
  <c r="L10" i="1"/>
  <c r="N11" i="1"/>
  <c r="L11" i="1"/>
  <c r="N12" i="1"/>
  <c r="L12" i="1"/>
  <c r="P28" i="1" l="1"/>
  <c r="P29" i="1" s="1"/>
  <c r="P56" i="1"/>
  <c r="P54" i="1"/>
  <c r="P50" i="1"/>
  <c r="P52" i="1"/>
  <c r="P46" i="1"/>
  <c r="P48" i="1"/>
  <c r="P44" i="1"/>
  <c r="P42" i="1"/>
  <c r="P40" i="1"/>
  <c r="P38" i="1"/>
  <c r="P36" i="1"/>
  <c r="P35" i="1"/>
  <c r="G11" i="2" s="1"/>
  <c r="P32" i="1"/>
  <c r="P30" i="1"/>
  <c r="P73" i="1"/>
  <c r="G49" i="2" s="1"/>
  <c r="P70" i="1"/>
  <c r="P68" i="1"/>
  <c r="P66" i="1"/>
  <c r="P60" i="1"/>
  <c r="P58" i="1"/>
  <c r="P64" i="1"/>
  <c r="P62" i="1"/>
  <c r="P59" i="1" l="1"/>
  <c r="G35" i="2" s="1"/>
  <c r="G34" i="2"/>
  <c r="P37" i="1"/>
  <c r="G13" i="2" s="1"/>
  <c r="G12" i="2"/>
  <c r="P39" i="1"/>
  <c r="G15" i="2" s="1"/>
  <c r="G14" i="2"/>
  <c r="P41" i="1"/>
  <c r="G17" i="2" s="1"/>
  <c r="G16" i="2"/>
  <c r="P43" i="1"/>
  <c r="G19" i="2" s="1"/>
  <c r="G18" i="2"/>
  <c r="P45" i="1"/>
  <c r="G21" i="2" s="1"/>
  <c r="G20" i="2"/>
  <c r="P49" i="1"/>
  <c r="G25" i="2" s="1"/>
  <c r="G24" i="2"/>
  <c r="P47" i="1"/>
  <c r="G23" i="2" s="1"/>
  <c r="G22" i="2"/>
  <c r="P53" i="1"/>
  <c r="G29" i="2" s="1"/>
  <c r="G28" i="2"/>
  <c r="P51" i="1"/>
  <c r="G27" i="2" s="1"/>
  <c r="G26" i="2"/>
  <c r="G5" i="2"/>
  <c r="G4" i="2"/>
  <c r="G3" i="2"/>
  <c r="G2" i="2"/>
  <c r="P61" i="1"/>
  <c r="G37" i="2" s="1"/>
  <c r="G36" i="2"/>
  <c r="P67" i="1"/>
  <c r="G43" i="2" s="1"/>
  <c r="G42" i="2"/>
  <c r="P71" i="1"/>
  <c r="G47" i="2" s="1"/>
  <c r="G46" i="2"/>
  <c r="P31" i="1"/>
  <c r="G7" i="2" s="1"/>
  <c r="G6" i="2"/>
  <c r="P33" i="1"/>
  <c r="G9" i="2" s="1"/>
  <c r="G8" i="2"/>
  <c r="P63" i="1"/>
  <c r="G39" i="2" s="1"/>
  <c r="G38" i="2"/>
  <c r="P55" i="1"/>
  <c r="G31" i="2" s="1"/>
  <c r="G30" i="2"/>
  <c r="P69" i="1"/>
  <c r="G45" i="2" s="1"/>
  <c r="G44" i="2"/>
  <c r="P65" i="1"/>
  <c r="G41" i="2" s="1"/>
  <c r="G40" i="2"/>
  <c r="P57" i="1"/>
  <c r="G33" i="2" s="1"/>
  <c r="G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 Ola Persson</author>
  </authors>
  <commentList>
    <comment ref="L2" authorId="0" shapeId="0" xr:uid="{B05E8F4A-27FC-47F4-9F5D-EB23B72EE55E}">
      <text>
        <r>
          <rPr>
            <sz val="8"/>
            <color indexed="81"/>
            <rFont val="Tahoma"/>
            <family val="2"/>
          </rPr>
          <t>Denna siffra är sänkning av det genomsnittliga inköpspriset på el (timpris eller kvartspris)
Simulering av våra algoritmer ger 22-23% på 2024</t>
        </r>
      </text>
    </comment>
    <comment ref="B4" authorId="0" shapeId="0" xr:uid="{D7FDBA5B-127E-40C6-91C3-7D66106B1A76}">
      <text>
        <r>
          <rPr>
            <sz val="8"/>
            <color indexed="81"/>
            <rFont val="Tahoma"/>
            <family val="2"/>
          </rPr>
          <t>Med Markvärme avses bergvärme, jordvärme, sjövärme eller grundvattenvärmepump</t>
        </r>
      </text>
    </comment>
    <comment ref="B8" authorId="0" shapeId="0" xr:uid="{628AA430-C1CD-441C-BA96-2D2CE31049E3}">
      <text>
        <r>
          <rPr>
            <sz val="8"/>
            <color indexed="81"/>
            <rFont val="Tahoma"/>
            <family val="2"/>
          </rPr>
          <t>Luftvatten eller en modern kondenserande frånluftsvärmepump</t>
        </r>
      </text>
    </comment>
    <comment ref="B12" authorId="0" shapeId="0" xr:uid="{EB7C0CC9-6F74-475C-850F-1F9646EE841B}">
      <text>
        <r>
          <rPr>
            <sz val="8"/>
            <color indexed="81"/>
            <rFont val="Tahoma"/>
            <family val="2"/>
          </rPr>
          <t xml:space="preserve">Här avses standard frånluftvärmepump, typ Nibe 360/370, IVT 490.
De med liten kompressor på 2-3 kW
</t>
        </r>
      </text>
    </comment>
    <comment ref="U20" authorId="0" shapeId="0" xr:uid="{BA8BFFE3-C384-422D-B818-95459C801DE0}">
      <text>
        <r>
          <rPr>
            <sz val="8"/>
            <color indexed="81"/>
            <rFont val="Tahoma"/>
            <family val="2"/>
          </rPr>
          <t xml:space="preserve">Spotpris med påslag på 10 öre samt sedan moms
(spotpris+10)*1,25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 Ola Persson</author>
  </authors>
  <commentList>
    <comment ref="B4" authorId="0" shapeId="0" xr:uid="{EE3F55F4-07F8-4350-9320-A7D15C4761DA}">
      <text>
        <r>
          <rPr>
            <sz val="8"/>
            <color indexed="81"/>
            <rFont val="Tahoma"/>
            <family val="2"/>
          </rPr>
          <t>Med Markvärme avses bergvärme, jordvärme, sjövärme eller grundvattenvärmepump</t>
        </r>
      </text>
    </comment>
    <comment ref="B8" authorId="0" shapeId="0" xr:uid="{178B6675-F8D2-4042-809D-BDC1718DEAF0}">
      <text>
        <r>
          <rPr>
            <sz val="8"/>
            <color indexed="81"/>
            <rFont val="Tahoma"/>
            <family val="2"/>
          </rPr>
          <t>Luftvatten eller en modern kondenserande frånluftsvärmepump</t>
        </r>
      </text>
    </comment>
    <comment ref="B12" authorId="0" shapeId="0" xr:uid="{C3370417-C38E-4D1F-B6CA-C4784FFC7558}">
      <text>
        <r>
          <rPr>
            <sz val="8"/>
            <color indexed="81"/>
            <rFont val="Tahoma"/>
            <family val="2"/>
          </rPr>
          <t xml:space="preserve">Här avses standard frånluftvärmepump, typ Nibe 360/370, IVT 490.
De med liten kompressor på 2-3 kW
</t>
        </r>
      </text>
    </comment>
    <comment ref="T20" authorId="0" shapeId="0" xr:uid="{8F88C2B2-468D-47E7-AF86-86420E78AC68}">
      <text>
        <r>
          <rPr>
            <sz val="8"/>
            <color indexed="81"/>
            <rFont val="Tahoma"/>
            <family val="2"/>
          </rPr>
          <t xml:space="preserve">Spotpris med påslag på 10 öre samt sedan moms
(spotpris+10)*1,25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 Ola Persson</author>
  </authors>
  <commentList>
    <comment ref="B4" authorId="0" shapeId="0" xr:uid="{AE7E4FDB-5F39-4C6B-8FEA-89E5E5D6F224}">
      <text>
        <r>
          <rPr>
            <sz val="8"/>
            <color indexed="81"/>
            <rFont val="Tahoma"/>
            <family val="2"/>
          </rPr>
          <t>Med Markvärme avses bergvärme, jordvärme, sjövärme eller grundvattenvärmepump</t>
        </r>
      </text>
    </comment>
    <comment ref="B8" authorId="0" shapeId="0" xr:uid="{3B2392DA-4FC2-4B54-9AC7-7E601EBB5C0D}">
      <text>
        <r>
          <rPr>
            <sz val="8"/>
            <color indexed="81"/>
            <rFont val="Tahoma"/>
            <family val="2"/>
          </rPr>
          <t>Luftvatten eller en modern kondenserande frånluftsvärmepump</t>
        </r>
      </text>
    </comment>
    <comment ref="B12" authorId="0" shapeId="0" xr:uid="{385CE569-A0E6-49D0-8786-60CAC47C3420}">
      <text>
        <r>
          <rPr>
            <sz val="8"/>
            <color indexed="81"/>
            <rFont val="Tahoma"/>
            <family val="2"/>
          </rPr>
          <t xml:space="preserve">Här avses standard frånluftvärmepump, typ Nibe 360/370, IVT 490.
De med liten kompressor på 2-3 kW
</t>
        </r>
      </text>
    </comment>
    <comment ref="T20" authorId="0" shapeId="0" xr:uid="{A065370C-442E-4902-94C2-EF686AC34070}">
      <text>
        <r>
          <rPr>
            <sz val="8"/>
            <color indexed="81"/>
            <rFont val="Tahoma"/>
            <family val="2"/>
          </rPr>
          <t xml:space="preserve">Spotpris med påslag på 10 öre samt sedan moms
(spotpris+10)*1,25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 Ola Persson</author>
  </authors>
  <commentList>
    <comment ref="B4" authorId="0" shapeId="0" xr:uid="{CB72000D-23D7-4C66-9EC8-8DD4FF184448}">
      <text>
        <r>
          <rPr>
            <sz val="8"/>
            <color indexed="81"/>
            <rFont val="Tahoma"/>
            <family val="2"/>
          </rPr>
          <t>Med Markvärme avses bergvärme, jordvärme, sjövärme eller grundvattenvärmepump</t>
        </r>
      </text>
    </comment>
    <comment ref="B8" authorId="0" shapeId="0" xr:uid="{03FF697A-1005-4CEB-9B68-D8B6D9F91777}">
      <text>
        <r>
          <rPr>
            <sz val="8"/>
            <color indexed="81"/>
            <rFont val="Tahoma"/>
            <family val="2"/>
          </rPr>
          <t>Luftvatten eller en modern kondenserande frånluftsvärmepump</t>
        </r>
      </text>
    </comment>
    <comment ref="B12" authorId="0" shapeId="0" xr:uid="{7AAA7B98-1B1C-4EE3-A192-DBE4ED73B236}">
      <text>
        <r>
          <rPr>
            <sz val="8"/>
            <color indexed="81"/>
            <rFont val="Tahoma"/>
            <family val="2"/>
          </rPr>
          <t xml:space="preserve">Här avses standard frånluftvärmepump, typ Nibe 360/370, IVT 490.
De med liten kompressor på 2-3 kW
</t>
        </r>
      </text>
    </comment>
    <comment ref="T20" authorId="0" shapeId="0" xr:uid="{BA8635D9-CE89-4B86-B27D-140B48CB7330}">
      <text>
        <r>
          <rPr>
            <sz val="8"/>
            <color indexed="81"/>
            <rFont val="Tahoma"/>
            <family val="2"/>
          </rPr>
          <t xml:space="preserve">Spotpris med påslag på 10 öre samt sedan moms
(spotpris+10)*1,25
</t>
        </r>
      </text>
    </comment>
  </commentList>
</comments>
</file>

<file path=xl/sharedStrings.xml><?xml version="1.0" encoding="utf-8"?>
<sst xmlns="http://schemas.openxmlformats.org/spreadsheetml/2006/main" count="1087" uniqueCount="190">
  <si>
    <t>SE4</t>
  </si>
  <si>
    <t>BV</t>
  </si>
  <si>
    <t>hus 1</t>
  </si>
  <si>
    <t>hus 2</t>
  </si>
  <si>
    <t>hus 3</t>
  </si>
  <si>
    <t>hus 4</t>
  </si>
  <si>
    <t>nej</t>
  </si>
  <si>
    <t>sol</t>
  </si>
  <si>
    <t>elbil</t>
  </si>
  <si>
    <t>sol+elbil</t>
  </si>
  <si>
    <t>VP-typ</t>
  </si>
  <si>
    <t>Hustyp</t>
  </si>
  <si>
    <t>LV</t>
  </si>
  <si>
    <t>FL</t>
  </si>
  <si>
    <t>SE3</t>
  </si>
  <si>
    <t>SE2</t>
  </si>
  <si>
    <t>SE1</t>
  </si>
  <si>
    <t>Hus 1</t>
  </si>
  <si>
    <t>Hus 2</t>
  </si>
  <si>
    <t>Hus 3</t>
  </si>
  <si>
    <t>Hus 4</t>
  </si>
  <si>
    <t>MV</t>
  </si>
  <si>
    <t>Förklaring</t>
  </si>
  <si>
    <t>ålder</t>
  </si>
  <si>
    <t>Kwh/kvm/år</t>
  </si>
  <si>
    <t>Antal kvm</t>
  </si>
  <si>
    <t>Sol</t>
  </si>
  <si>
    <t>25 paneler med 400 Wp</t>
  </si>
  <si>
    <t>Elbil</t>
  </si>
  <si>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</si>
  <si>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</si>
  <si>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</si>
  <si>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</si>
  <si>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</si>
  <si>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</si>
  <si>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</si>
  <si>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</si>
  <si>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</si>
  <si>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</si>
  <si>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</si>
  <si>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</si>
  <si>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inkl moms+påslag</t>
  </si>
  <si>
    <t>exkl moms</t>
  </si>
  <si>
    <t>Medel:</t>
  </si>
  <si>
    <t>Elöverf/skatt:</t>
  </si>
  <si>
    <t>Medel solel:</t>
  </si>
  <si>
    <t>(juni-sept)</t>
  </si>
  <si>
    <t>1500 mil á 2 kr/kWh, 70% hemma</t>
  </si>
  <si>
    <t>el, exkl moms</t>
  </si>
  <si>
    <t>el, inkl moms+påslag</t>
  </si>
  <si>
    <t>Sol-elpris:</t>
  </si>
  <si>
    <t>MV tillgänglig effekt</t>
  </si>
  <si>
    <t>LV tillgänglig effekt</t>
  </si>
  <si>
    <t>FL tillgänglig effekt</t>
  </si>
  <si>
    <t>VP avgiven effekt:</t>
  </si>
  <si>
    <t>Tariffpris:</t>
  </si>
  <si>
    <r>
      <t xml:space="preserve">SPO 2023
</t>
    </r>
    <r>
      <rPr>
        <sz val="8"/>
        <color theme="1"/>
        <rFont val="Aptos Narrow"/>
        <family val="2"/>
        <scheme val="minor"/>
      </rPr>
      <t>energikostnad, besparing</t>
    </r>
  </si>
  <si>
    <r>
      <t xml:space="preserve">Förbrukning
</t>
    </r>
    <r>
      <rPr>
        <sz val="8"/>
        <color theme="1"/>
        <rFont val="Aptos Narrow"/>
        <family val="2"/>
        <scheme val="minor"/>
      </rPr>
      <t>värme+vv</t>
    </r>
  </si>
  <si>
    <t>Reaktionstid, min:</t>
  </si>
  <si>
    <t>inkl elbil</t>
  </si>
  <si>
    <t>utan elbil</t>
  </si>
  <si>
    <r>
      <t xml:space="preserve">Effekttariffer
</t>
    </r>
    <r>
      <rPr>
        <sz val="8"/>
        <color theme="1"/>
        <rFont val="Aptos Narrow"/>
        <family val="2"/>
        <scheme val="minor"/>
      </rPr>
      <t>besparing per år</t>
    </r>
  </si>
  <si>
    <t>Besparing %:</t>
  </si>
  <si>
    <t>1 plans 100 kvm, 6 kW avgiven effekt</t>
  </si>
  <si>
    <t>1-plan villa 150 kvm, 8 kW avgiven effekt</t>
  </si>
  <si>
    <t>1,5 plan villa 200 kvm, 10 kW avgiven effekt</t>
  </si>
  <si>
    <t>2-plan villa 250 kvm+, 14 kW avgiven effekt</t>
  </si>
  <si>
    <t>Reak-tid inkl elbil, min:</t>
  </si>
  <si>
    <t>Teckenförklaring</t>
  </si>
  <si>
    <t>ok att ändra, testa</t>
  </si>
  <si>
    <r>
      <t xml:space="preserve">SPO 2024
</t>
    </r>
    <r>
      <rPr>
        <sz val="10"/>
        <color theme="0" tint="-0.499984740745262"/>
        <rFont val="Aptos Narrow"/>
        <family val="2"/>
        <scheme val="minor"/>
      </rPr>
      <t>energikostnad, besparing</t>
    </r>
  </si>
  <si>
    <r>
      <t xml:space="preserve">Sol 2024
</t>
    </r>
    <r>
      <rPr>
        <sz val="10"/>
        <color theme="0" tint="-0.499984740745262"/>
        <rFont val="Aptos Narrow"/>
        <family val="2"/>
        <scheme val="minor"/>
      </rPr>
      <t>energikostnad, besparing</t>
    </r>
  </si>
  <si>
    <t>SE1-4</t>
  </si>
  <si>
    <t>Februari</t>
  </si>
  <si>
    <t>Mars</t>
  </si>
  <si>
    <t>April</t>
  </si>
  <si>
    <t>Maj</t>
  </si>
  <si>
    <t>Juni</t>
  </si>
  <si>
    <t>Juli</t>
  </si>
  <si>
    <t>Augusti</t>
  </si>
  <si>
    <t>September</t>
  </si>
  <si>
    <t>Oktober</t>
  </si>
  <si>
    <t>November</t>
  </si>
  <si>
    <t>December</t>
  </si>
  <si>
    <t>SE 2 Sammanfattning</t>
  </si>
  <si>
    <t>SE 1 Sammanfattning</t>
  </si>
  <si>
    <t>82.11</t>
  </si>
  <si>
    <t>78.92</t>
  </si>
  <si>
    <t>37.89</t>
  </si>
  <si>
    <t>63.44</t>
  </si>
  <si>
    <t>60.86</t>
  </si>
  <si>
    <t>25.74</t>
  </si>
  <si>
    <t>66.79</t>
  </si>
  <si>
    <t>69.73</t>
  </si>
  <si>
    <t>29.20</t>
  </si>
  <si>
    <t>76.33</t>
  </si>
  <si>
    <t>63.25</t>
  </si>
  <si>
    <t>27.44</t>
  </si>
  <si>
    <t>40.85</t>
  </si>
  <si>
    <t>31.77</t>
  </si>
  <si>
    <t>27.92</t>
  </si>
  <si>
    <t>59.42</t>
  </si>
  <si>
    <t>36.40</t>
  </si>
  <si>
    <t>15.60</t>
  </si>
  <si>
    <t>47.93</t>
  </si>
  <si>
    <t>32.13</t>
  </si>
  <si>
    <t>26.95</t>
  </si>
  <si>
    <t>34.66</t>
  </si>
  <si>
    <t>20.23</t>
  </si>
  <si>
    <t>38.61</t>
  </si>
  <si>
    <t>21.91</t>
  </si>
  <si>
    <t>21.41</t>
  </si>
  <si>
    <t>30.52</t>
  </si>
  <si>
    <t>32.33</t>
  </si>
  <si>
    <t>23.92</t>
  </si>
  <si>
    <t>-</t>
  </si>
  <si>
    <t>76.85</t>
  </si>
  <si>
    <t>37.65</t>
  </si>
  <si>
    <t>87.72</t>
  </si>
  <si>
    <t>24.84</t>
  </si>
  <si>
    <t>82.39</t>
  </si>
  <si>
    <t>79.74</t>
  </si>
  <si>
    <t>37.49</t>
  </si>
  <si>
    <t>63.90</t>
  </si>
  <si>
    <t>60.89</t>
  </si>
  <si>
    <t>27.49</t>
  </si>
  <si>
    <t>67.42</t>
  </si>
  <si>
    <t>69.91</t>
  </si>
  <si>
    <t>24.16</t>
  </si>
  <si>
    <t>76.13</t>
  </si>
  <si>
    <t>64.11</t>
  </si>
  <si>
    <t>27.31</t>
  </si>
  <si>
    <t>41.58</t>
  </si>
  <si>
    <t>31.92</t>
  </si>
  <si>
    <t>29.16</t>
  </si>
  <si>
    <t>59.29</t>
  </si>
  <si>
    <t>36.37</t>
  </si>
  <si>
    <t>19.85</t>
  </si>
  <si>
    <t>47.95</t>
  </si>
  <si>
    <t>31.99</t>
  </si>
  <si>
    <t>29.15</t>
  </si>
  <si>
    <t>19.84</t>
  </si>
  <si>
    <t>37.62</t>
  </si>
  <si>
    <t>22.00</t>
  </si>
  <si>
    <t>22.73</t>
  </si>
  <si>
    <t>29.47</t>
  </si>
  <si>
    <t>32.35</t>
  </si>
  <si>
    <t>24.73</t>
  </si>
  <si>
    <t>78.07</t>
  </si>
  <si>
    <t>31.02</t>
  </si>
  <si>
    <t>89.69</t>
  </si>
  <si>
    <t>23.34</t>
  </si>
  <si>
    <t>Lägre elinköp %:</t>
  </si>
  <si>
    <t>Definition hustyper</t>
  </si>
  <si>
    <r>
      <t xml:space="preserve">Förbrukning
</t>
    </r>
    <r>
      <rPr>
        <sz val="8"/>
        <color theme="1"/>
        <rFont val="Aptos Narrow"/>
        <family val="2"/>
        <scheme val="minor"/>
      </rPr>
      <t>värme+vv, kWh</t>
    </r>
  </si>
  <si>
    <t>SE 4</t>
  </si>
  <si>
    <t>SE 3</t>
  </si>
  <si>
    <t>SE 2</t>
  </si>
  <si>
    <t>SE 1</t>
  </si>
  <si>
    <t xml:space="preserve">  SE 4 Sammanfattning</t>
  </si>
  <si>
    <t xml:space="preserve">  SE 3 Sammanfattning</t>
  </si>
  <si>
    <t>Ändra här för hela dokumentet</t>
  </si>
  <si>
    <t>Lägre elpris, timpris genomsnitt (%)</t>
  </si>
  <si>
    <t>SPO</t>
  </si>
  <si>
    <t>SOL</t>
  </si>
  <si>
    <t>Tariff</t>
  </si>
  <si>
    <t>Effekttabell tariffer</t>
  </si>
  <si>
    <t>Elpriser tabell</t>
  </si>
  <si>
    <t>Resultat besparing</t>
  </si>
  <si>
    <r>
      <rPr>
        <b/>
        <sz val="10"/>
        <color theme="1"/>
        <rFont val="Aptos Narrow"/>
        <family val="2"/>
        <scheme val="minor"/>
      </rPr>
      <t>Tariffer-</t>
    </r>
    <r>
      <rPr>
        <sz val="10"/>
        <color theme="1"/>
        <rFont val="Aptos Narrow"/>
        <family val="2"/>
        <scheme val="minor"/>
      </rPr>
      <t>resultat &amp; beräkning</t>
    </r>
  </si>
  <si>
    <r>
      <rPr>
        <b/>
        <sz val="10"/>
        <color theme="1"/>
        <rFont val="Aptos Narrow"/>
        <family val="2"/>
        <scheme val="minor"/>
      </rPr>
      <t>SOL</t>
    </r>
    <r>
      <rPr>
        <sz val="10"/>
        <color theme="1"/>
        <rFont val="Aptos Narrow"/>
        <family val="2"/>
        <scheme val="minor"/>
      </rPr>
      <t>-resultat &amp; beräkning</t>
    </r>
  </si>
  <si>
    <r>
      <rPr>
        <b/>
        <sz val="10"/>
        <color theme="1"/>
        <rFont val="Aptos Narrow"/>
        <family val="2"/>
        <scheme val="minor"/>
      </rPr>
      <t>Ändra</t>
    </r>
    <r>
      <rPr>
        <sz val="10"/>
        <color theme="1"/>
        <rFont val="Aptos Narrow"/>
        <family val="2"/>
        <scheme val="minor"/>
      </rPr>
      <t xml:space="preserve"> parametrar här, testa (gul)</t>
    </r>
  </si>
  <si>
    <r>
      <rPr>
        <b/>
        <sz val="10"/>
        <color theme="1"/>
        <rFont val="Aptos Narrow"/>
        <family val="2"/>
        <scheme val="minor"/>
      </rPr>
      <t xml:space="preserve">SPO-rasultat, </t>
    </r>
    <r>
      <rPr>
        <sz val="10"/>
        <color theme="1"/>
        <rFont val="Aptos Narrow"/>
        <family val="2"/>
        <scheme val="minor"/>
      </rPr>
      <t>tabell underlag</t>
    </r>
  </si>
  <si>
    <t>juni</t>
  </si>
  <si>
    <t>juli</t>
  </si>
  <si>
    <t>augusti</t>
  </si>
  <si>
    <t>september</t>
  </si>
  <si>
    <t>oktober</t>
  </si>
  <si>
    <t>Ökning %:</t>
  </si>
  <si>
    <t>Medel/ökning:</t>
  </si>
  <si>
    <t>Ökning</t>
  </si>
  <si>
    <t>(juli-okt)</t>
  </si>
  <si>
    <t>Patrik HEAB egenanvändning, lägesrapport</t>
  </si>
  <si>
    <t>utan styrning</t>
  </si>
  <si>
    <t>besparing styrning</t>
  </si>
  <si>
    <r>
      <t xml:space="preserve">Sol 2023
</t>
    </r>
    <r>
      <rPr>
        <sz val="10"/>
        <color theme="1"/>
        <rFont val="Aptos Narrow"/>
        <family val="2"/>
        <scheme val="minor"/>
      </rPr>
      <t>egenanvändning före/efter</t>
    </r>
  </si>
  <si>
    <t>2025               ökning</t>
  </si>
  <si>
    <t>Kenny egenanvändning, lägesrapport</t>
  </si>
  <si>
    <t>Simulering Kenny egenanvändning</t>
  </si>
  <si>
    <t>Total förbrukning
(+ hhel)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</si>
</sst>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kr&quot;_-;\-* #,##0.00\ &quot;kr&quot;_-;_-* &quot;-&quot;??\ &quot;kr&quot;_-;_-@_-"/>
    <numFmt numFmtId="164" formatCode="0.0"/>
    <numFmt numFmtId="165" formatCode="_-* #,##0\ &quot;kr&quot;_-;\-* #,##0\ &quot;kr&quot;_-;_-* &quot;-&quot;??\ &quot;kr&quot;_-;_-@_-"/>
    <numFmt numFmtId="166" formatCode="_-* #,##0\ &quot;kr&quot;_-;\-* #,##0\ &quot;kr&quot;_-;_-* &quot;-&quot;?\ &quot;kr&quot;_-;_-@_-"/>
    <numFmt numFmtId="167" formatCode="#,##0\ &quot;kr&quot;"/>
    <numFmt numFmtId="168" formatCode="0.0%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rgb="FF2071B5"/>
      <name val="Arial"/>
      <family val="2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2071B5"/>
      <name val="Arial"/>
      <family val="2"/>
    </font>
    <font>
      <sz val="10"/>
      <name val="Arial"/>
      <family val="2"/>
    </font>
    <font>
      <sz val="10"/>
      <color theme="0" tint="-0.499984740745262"/>
      <name val="Aptos Narrow"/>
      <family val="2"/>
      <scheme val="minor"/>
    </font>
    <font>
      <b/>
      <sz val="10"/>
      <color theme="0" tint="-0.499984740745262"/>
      <name val="Aptos Narrow"/>
      <family val="2"/>
      <scheme val="minor"/>
    </font>
    <font>
      <sz val="8"/>
      <color theme="0" tint="-0.499984740745262"/>
      <name val="Aptos Narrow"/>
      <family val="2"/>
      <scheme val="minor"/>
    </font>
    <font>
      <sz val="10"/>
      <color theme="0" tint="-0.499984740745262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8"/>
      <color indexed="81"/>
      <name val="Tahoma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0" tint="-0.34998626667073579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 tint="-0.49998474074526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double">
        <color theme="1"/>
      </right>
      <top style="dotted">
        <color indexed="64"/>
      </top>
      <bottom/>
      <diagonal/>
    </border>
    <border>
      <left/>
      <right style="double">
        <color theme="1"/>
      </right>
      <top style="thin">
        <color indexed="64"/>
      </top>
      <bottom/>
      <diagonal/>
    </border>
    <border>
      <left style="double">
        <color theme="1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double">
        <color theme="1"/>
      </right>
      <top/>
      <bottom style="double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theme="1"/>
      </left>
      <right/>
      <top style="double">
        <color theme="1"/>
      </top>
      <bottom style="thin">
        <color indexed="64"/>
      </bottom>
      <diagonal/>
    </border>
    <border>
      <left/>
      <right/>
      <top style="double">
        <color theme="1"/>
      </top>
      <bottom style="thin">
        <color indexed="64"/>
      </bottom>
      <diagonal/>
    </border>
    <border>
      <left/>
      <right style="double">
        <color theme="1"/>
      </right>
      <top style="double">
        <color theme="1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8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65" fontId="7" fillId="0" borderId="0" xfId="1" applyNumberFormat="1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166" fontId="7" fillId="0" borderId="0" xfId="0" applyNumberFormat="1" applyFont="1"/>
    <xf numFmtId="0" fontId="7" fillId="0" borderId="0" xfId="0" applyFont="1"/>
    <xf numFmtId="0" fontId="8" fillId="0" borderId="14" xfId="0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5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7" fillId="0" borderId="4" xfId="0" applyFont="1" applyBorder="1"/>
    <xf numFmtId="0" fontId="7" fillId="0" borderId="5" xfId="0" applyFont="1" applyBorder="1" applyAlignment="1">
      <alignment horizontal="center"/>
    </xf>
    <xf numFmtId="165" fontId="7" fillId="0" borderId="4" xfId="1" applyNumberFormat="1" applyFont="1" applyBorder="1" applyAlignment="1">
      <alignment horizontal="center"/>
    </xf>
    <xf numFmtId="165" fontId="7" fillId="0" borderId="5" xfId="1" applyNumberFormat="1" applyFont="1" applyBorder="1" applyAlignment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center"/>
    </xf>
    <xf numFmtId="165" fontId="7" fillId="0" borderId="6" xfId="1" applyNumberFormat="1" applyFont="1" applyBorder="1" applyAlignment="1">
      <alignment horizontal="center"/>
    </xf>
    <xf numFmtId="165" fontId="7" fillId="0" borderId="8" xfId="1" applyNumberFormat="1" applyFont="1" applyBorder="1" applyAlignment="1"/>
    <xf numFmtId="165" fontId="7" fillId="0" borderId="0" xfId="1" applyNumberFormat="1" applyFont="1" applyBorder="1" applyAlignme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8" fillId="0" borderId="4" xfId="0" applyFont="1" applyBorder="1"/>
    <xf numFmtId="9" fontId="8" fillId="0" borderId="0" xfId="2" applyFont="1" applyBorder="1" applyAlignment="1">
      <alignment horizontal="center" wrapText="1"/>
    </xf>
    <xf numFmtId="165" fontId="7" fillId="0" borderId="0" xfId="1" applyNumberFormat="1" applyFont="1" applyBorder="1" applyAlignment="1">
      <alignment horizontal="center"/>
    </xf>
    <xf numFmtId="165" fontId="7" fillId="0" borderId="5" xfId="1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 vertical="center" wrapText="1"/>
    </xf>
    <xf numFmtId="9" fontId="7" fillId="0" borderId="0" xfId="2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Border="1"/>
    <xf numFmtId="167" fontId="7" fillId="0" borderId="4" xfId="0" applyNumberFormat="1" applyFont="1" applyBorder="1"/>
    <xf numFmtId="167" fontId="7" fillId="0" borderId="5" xfId="0" applyNumberFormat="1" applyFont="1" applyBorder="1"/>
    <xf numFmtId="167" fontId="7" fillId="0" borderId="6" xfId="0" applyNumberFormat="1" applyFont="1" applyBorder="1"/>
    <xf numFmtId="167" fontId="7" fillId="0" borderId="8" xfId="0" applyNumberFormat="1" applyFont="1" applyBorder="1"/>
    <xf numFmtId="0" fontId="8" fillId="0" borderId="0" xfId="0" applyFont="1" applyAlignment="1">
      <alignment horizontal="center" wrapText="1"/>
    </xf>
    <xf numFmtId="0" fontId="7" fillId="0" borderId="15" xfId="0" applyFont="1" applyBorder="1"/>
    <xf numFmtId="0" fontId="7" fillId="0" borderId="16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65" fontId="7" fillId="0" borderId="15" xfId="1" applyNumberFormat="1" applyFont="1" applyBorder="1" applyAlignment="1">
      <alignment horizontal="center"/>
    </xf>
    <xf numFmtId="165" fontId="7" fillId="0" borderId="17" xfId="1" applyNumberFormat="1" applyFont="1" applyBorder="1" applyAlignment="1"/>
    <xf numFmtId="167" fontId="7" fillId="0" borderId="15" xfId="0" applyNumberFormat="1" applyFont="1" applyBorder="1"/>
    <xf numFmtId="167" fontId="7" fillId="0" borderId="17" xfId="0" applyNumberFormat="1" applyFont="1" applyBorder="1"/>
    <xf numFmtId="9" fontId="8" fillId="2" borderId="8" xfId="2" applyFont="1" applyFill="1" applyBorder="1" applyAlignment="1">
      <alignment horizontal="center" wrapText="1"/>
    </xf>
    <xf numFmtId="9" fontId="8" fillId="2" borderId="4" xfId="2" applyFont="1" applyFill="1" applyBorder="1" applyAlignment="1">
      <alignment horizontal="center" wrapText="1"/>
    </xf>
    <xf numFmtId="9" fontId="8" fillId="2" borderId="5" xfId="2" applyFont="1" applyFill="1" applyBorder="1" applyAlignment="1">
      <alignment horizontal="center" wrapText="1"/>
    </xf>
    <xf numFmtId="164" fontId="9" fillId="2" borderId="4" xfId="0" applyNumberFormat="1" applyFont="1" applyFill="1" applyBorder="1" applyAlignment="1">
      <alignment horizontal="center" vertical="center" wrapText="1"/>
    </xf>
    <xf numFmtId="9" fontId="7" fillId="2" borderId="5" xfId="2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64" fontId="11" fillId="2" borderId="4" xfId="0" applyNumberFormat="1" applyFont="1" applyFill="1" applyBorder="1" applyAlignment="1">
      <alignment horizontal="center" vertical="center" wrapText="1"/>
    </xf>
    <xf numFmtId="0" fontId="7" fillId="3" borderId="16" xfId="0" applyFont="1" applyFill="1" applyBorder="1"/>
    <xf numFmtId="0" fontId="7" fillId="3" borderId="16" xfId="0" applyFont="1" applyFill="1" applyBorder="1" applyAlignment="1">
      <alignment horizontal="center"/>
    </xf>
    <xf numFmtId="0" fontId="8" fillId="3" borderId="2" xfId="0" applyFont="1" applyFill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7" fillId="0" borderId="18" xfId="0" applyFont="1" applyBorder="1"/>
    <xf numFmtId="0" fontId="7" fillId="3" borderId="0" xfId="0" applyFont="1" applyFill="1" applyAlignment="1">
      <alignment horizontal="center"/>
    </xf>
    <xf numFmtId="0" fontId="8" fillId="3" borderId="0" xfId="0" applyFont="1" applyFill="1"/>
    <xf numFmtId="0" fontId="7" fillId="3" borderId="0" xfId="0" applyFont="1" applyFill="1"/>
    <xf numFmtId="0" fontId="7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/>
    <xf numFmtId="165" fontId="7" fillId="3" borderId="24" xfId="0" applyNumberFormat="1" applyFont="1" applyFill="1" applyBorder="1" applyAlignment="1">
      <alignment horizontal="center"/>
    </xf>
    <xf numFmtId="0" fontId="7" fillId="3" borderId="23" xfId="0" applyFont="1" applyFill="1" applyBorder="1"/>
    <xf numFmtId="165" fontId="7" fillId="3" borderId="25" xfId="0" applyNumberFormat="1" applyFont="1" applyFill="1" applyBorder="1" applyAlignment="1">
      <alignment horizontal="center"/>
    </xf>
    <xf numFmtId="165" fontId="7" fillId="3" borderId="26" xfId="0" applyNumberFormat="1" applyFont="1" applyFill="1" applyBorder="1" applyAlignment="1">
      <alignment horizontal="center"/>
    </xf>
    <xf numFmtId="0" fontId="7" fillId="3" borderId="27" xfId="0" applyFont="1" applyFill="1" applyBorder="1"/>
    <xf numFmtId="0" fontId="7" fillId="3" borderId="28" xfId="0" applyFont="1" applyFill="1" applyBorder="1"/>
    <xf numFmtId="0" fontId="7" fillId="3" borderId="28" xfId="0" applyFont="1" applyFill="1" applyBorder="1" applyAlignment="1">
      <alignment horizontal="center"/>
    </xf>
    <xf numFmtId="165" fontId="7" fillId="3" borderId="29" xfId="0" applyNumberFormat="1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165" fontId="12" fillId="0" borderId="4" xfId="1" applyNumberFormat="1" applyFont="1" applyBorder="1" applyAlignment="1">
      <alignment horizontal="center"/>
    </xf>
    <xf numFmtId="165" fontId="12" fillId="0" borderId="5" xfId="1" applyNumberFormat="1" applyFont="1" applyBorder="1" applyAlignment="1">
      <alignment horizontal="center"/>
    </xf>
    <xf numFmtId="0" fontId="12" fillId="0" borderId="7" xfId="0" applyFont="1" applyBorder="1"/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65" fontId="12" fillId="0" borderId="6" xfId="1" applyNumberFormat="1" applyFont="1" applyBorder="1" applyAlignment="1">
      <alignment horizontal="center"/>
    </xf>
    <xf numFmtId="165" fontId="12" fillId="0" borderId="8" xfId="1" applyNumberFormat="1" applyFont="1" applyBorder="1" applyAlignment="1">
      <alignment horizontal="center"/>
    </xf>
    <xf numFmtId="0" fontId="13" fillId="0" borderId="6" xfId="0" applyFont="1" applyBorder="1" applyAlignment="1">
      <alignment horizontal="right" wrapText="1"/>
    </xf>
    <xf numFmtId="9" fontId="13" fillId="0" borderId="8" xfId="2" applyFont="1" applyBorder="1" applyAlignment="1">
      <alignment horizontal="center" wrapText="1"/>
    </xf>
    <xf numFmtId="165" fontId="12" fillId="0" borderId="5" xfId="1" applyNumberFormat="1" applyFont="1" applyBorder="1" applyAlignment="1"/>
    <xf numFmtId="165" fontId="12" fillId="0" borderId="15" xfId="1" applyNumberFormat="1" applyFont="1" applyBorder="1" applyAlignment="1">
      <alignment horizontal="center"/>
    </xf>
    <xf numFmtId="165" fontId="12" fillId="0" borderId="17" xfId="1" applyNumberFormat="1" applyFont="1" applyBorder="1" applyAlignment="1"/>
    <xf numFmtId="165" fontId="12" fillId="0" borderId="8" xfId="1" applyNumberFormat="1" applyFont="1" applyBorder="1" applyAlignment="1"/>
    <xf numFmtId="165" fontId="12" fillId="0" borderId="0" xfId="1" applyNumberFormat="1" applyFont="1" applyBorder="1" applyAlignment="1"/>
    <xf numFmtId="9" fontId="13" fillId="0" borderId="1" xfId="2" applyFont="1" applyBorder="1" applyAlignment="1">
      <alignment horizontal="center" wrapText="1"/>
    </xf>
    <xf numFmtId="9" fontId="13" fillId="0" borderId="3" xfId="2" applyFont="1" applyBorder="1" applyAlignment="1">
      <alignment horizontal="center" wrapText="1"/>
    </xf>
    <xf numFmtId="0" fontId="14" fillId="0" borderId="6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2" fontId="15" fillId="0" borderId="4" xfId="0" applyNumberFormat="1" applyFont="1" applyBorder="1" applyAlignment="1">
      <alignment horizontal="center" vertical="center" wrapText="1"/>
    </xf>
    <xf numFmtId="164" fontId="15" fillId="0" borderId="5" xfId="0" applyNumberFormat="1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/>
    </xf>
    <xf numFmtId="164" fontId="13" fillId="0" borderId="8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2" fillId="0" borderId="2" xfId="0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9" fontId="12" fillId="0" borderId="5" xfId="2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8" fillId="0" borderId="0" xfId="0" applyFont="1"/>
    <xf numFmtId="0" fontId="7" fillId="0" borderId="30" xfId="0" applyFont="1" applyBorder="1"/>
    <xf numFmtId="0" fontId="7" fillId="0" borderId="18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8" fillId="0" borderId="32" xfId="0" applyFont="1" applyBorder="1"/>
    <xf numFmtId="0" fontId="7" fillId="0" borderId="33" xfId="0" applyFont="1" applyBorder="1" applyAlignment="1">
      <alignment horizontal="center"/>
    </xf>
    <xf numFmtId="0" fontId="7" fillId="0" borderId="34" xfId="0" applyFont="1" applyBorder="1"/>
    <xf numFmtId="0" fontId="7" fillId="0" borderId="19" xfId="0" applyFont="1" applyBorder="1"/>
    <xf numFmtId="0" fontId="7" fillId="0" borderId="19" xfId="0" applyFont="1" applyBorder="1" applyAlignment="1">
      <alignment horizontal="center"/>
    </xf>
    <xf numFmtId="9" fontId="7" fillId="0" borderId="19" xfId="2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4" fontId="17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164" fontId="16" fillId="0" borderId="0" xfId="0" applyNumberFormat="1" applyFont="1" applyAlignment="1">
      <alignment horizontal="center" vertical="center" wrapText="1"/>
    </xf>
    <xf numFmtId="17" fontId="18" fillId="0" borderId="0" xfId="0" applyNumberFormat="1" applyFont="1" applyAlignment="1">
      <alignment horizontal="left" vertical="center" wrapText="1" indent="1"/>
    </xf>
    <xf numFmtId="2" fontId="9" fillId="0" borderId="0" xfId="0" applyNumberFormat="1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left" vertical="center" wrapText="1" indent="1"/>
    </xf>
    <xf numFmtId="0" fontId="5" fillId="0" borderId="36" xfId="0" applyFont="1" applyBorder="1" applyAlignment="1">
      <alignment horizontal="left" vertical="center" wrapText="1" indent="1"/>
    </xf>
    <xf numFmtId="0" fontId="7" fillId="4" borderId="38" xfId="0" applyFont="1" applyFill="1" applyBorder="1" applyAlignment="1">
      <alignment horizontal="center"/>
    </xf>
    <xf numFmtId="0" fontId="8" fillId="4" borderId="39" xfId="0" applyFont="1" applyFill="1" applyBorder="1" applyAlignment="1">
      <alignment horizontal="center"/>
    </xf>
    <xf numFmtId="0" fontId="2" fillId="0" borderId="0" xfId="0" applyFont="1"/>
    <xf numFmtId="9" fontId="7" fillId="0" borderId="0" xfId="2" applyFont="1" applyFill="1" applyBorder="1" applyAlignment="1">
      <alignment horizontal="center"/>
    </xf>
    <xf numFmtId="0" fontId="8" fillId="5" borderId="6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right"/>
    </xf>
    <xf numFmtId="0" fontId="7" fillId="7" borderId="13" xfId="0" applyFont="1" applyFill="1" applyBorder="1" applyAlignment="1">
      <alignment horizontal="right"/>
    </xf>
    <xf numFmtId="0" fontId="8" fillId="7" borderId="14" xfId="0" applyFont="1" applyFill="1" applyBorder="1" applyAlignment="1">
      <alignment horizontal="right"/>
    </xf>
    <xf numFmtId="165" fontId="7" fillId="2" borderId="5" xfId="1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" fontId="7" fillId="2" borderId="8" xfId="0" applyNumberFormat="1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right"/>
    </xf>
    <xf numFmtId="164" fontId="7" fillId="6" borderId="4" xfId="0" applyNumberFormat="1" applyFont="1" applyFill="1" applyBorder="1" applyAlignment="1">
      <alignment horizontal="right"/>
    </xf>
    <xf numFmtId="9" fontId="7" fillId="6" borderId="4" xfId="2" applyFont="1" applyFill="1" applyBorder="1" applyAlignment="1">
      <alignment horizontal="right"/>
    </xf>
    <xf numFmtId="9" fontId="7" fillId="6" borderId="6" xfId="2" applyFont="1" applyFill="1" applyBorder="1" applyAlignment="1">
      <alignment horizontal="right"/>
    </xf>
    <xf numFmtId="0" fontId="7" fillId="7" borderId="1" xfId="0" applyFont="1" applyFill="1" applyBorder="1" applyAlignment="1">
      <alignment horizontal="center"/>
    </xf>
    <xf numFmtId="164" fontId="7" fillId="7" borderId="3" xfId="0" applyNumberFormat="1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center" wrapText="1"/>
    </xf>
    <xf numFmtId="164" fontId="7" fillId="0" borderId="0" xfId="0" applyNumberFormat="1" applyFont="1"/>
    <xf numFmtId="0" fontId="22" fillId="0" borderId="0" xfId="0" applyFont="1" applyAlignment="1">
      <alignment horizontal="center"/>
    </xf>
    <xf numFmtId="164" fontId="23" fillId="0" borderId="0" xfId="0" applyNumberFormat="1" applyFont="1"/>
    <xf numFmtId="165" fontId="8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0" fontId="7" fillId="7" borderId="8" xfId="0" applyFont="1" applyFill="1" applyBorder="1" applyAlignment="1">
      <alignment horizontal="center"/>
    </xf>
    <xf numFmtId="9" fontId="7" fillId="0" borderId="0" xfId="2" applyFont="1"/>
    <xf numFmtId="0" fontId="7" fillId="7" borderId="4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7" borderId="7" xfId="0" applyFont="1" applyFill="1" applyBorder="1" applyAlignment="1">
      <alignment horizontal="center"/>
    </xf>
    <xf numFmtId="164" fontId="7" fillId="7" borderId="5" xfId="0" applyNumberFormat="1" applyFont="1" applyFill="1" applyBorder="1"/>
    <xf numFmtId="164" fontId="8" fillId="7" borderId="5" xfId="0" applyNumberFormat="1" applyFont="1" applyFill="1" applyBorder="1" applyAlignment="1">
      <alignment horizontal="center"/>
    </xf>
    <xf numFmtId="164" fontId="7" fillId="7" borderId="5" xfId="0" applyNumberFormat="1" applyFont="1" applyFill="1" applyBorder="1" applyAlignment="1">
      <alignment horizontal="center"/>
    </xf>
    <xf numFmtId="0" fontId="13" fillId="7" borderId="6" xfId="0" applyFont="1" applyFill="1" applyBorder="1"/>
    <xf numFmtId="168" fontId="13" fillId="7" borderId="8" xfId="2" applyNumberFormat="1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168" fontId="22" fillId="0" borderId="0" xfId="0" applyNumberFormat="1" applyFont="1" applyAlignment="1">
      <alignment horizontal="center"/>
    </xf>
    <xf numFmtId="0" fontId="7" fillId="6" borderId="7" xfId="0" applyFont="1" applyFill="1" applyBorder="1" applyAlignment="1">
      <alignment horizontal="center"/>
    </xf>
    <xf numFmtId="164" fontId="7" fillId="7" borderId="0" xfId="0" applyNumberFormat="1" applyFont="1" applyFill="1"/>
    <xf numFmtId="0" fontId="12" fillId="7" borderId="4" xfId="0" applyFont="1" applyFill="1" applyBorder="1"/>
    <xf numFmtId="168" fontId="12" fillId="7" borderId="0" xfId="2" applyNumberFormat="1" applyFont="1" applyFill="1"/>
    <xf numFmtId="168" fontId="7" fillId="7" borderId="0" xfId="2" applyNumberFormat="1" applyFont="1" applyFill="1"/>
    <xf numFmtId="168" fontId="8" fillId="7" borderId="5" xfId="2" applyNumberFormat="1" applyFont="1" applyFill="1" applyBorder="1" applyAlignment="1">
      <alignment horizontal="center"/>
    </xf>
    <xf numFmtId="168" fontId="7" fillId="7" borderId="5" xfId="2" applyNumberFormat="1" applyFont="1" applyFill="1" applyBorder="1"/>
    <xf numFmtId="168" fontId="12" fillId="7" borderId="5" xfId="2" applyNumberFormat="1" applyFont="1" applyFill="1" applyBorder="1"/>
    <xf numFmtId="164" fontId="12" fillId="7" borderId="0" xfId="0" applyNumberFormat="1" applyFont="1" applyFill="1"/>
    <xf numFmtId="164" fontId="12" fillId="7" borderId="5" xfId="0" applyNumberFormat="1" applyFont="1" applyFill="1" applyBorder="1"/>
    <xf numFmtId="168" fontId="7" fillId="0" borderId="0" xfId="2" applyNumberFormat="1" applyFont="1" applyAlignment="1">
      <alignment horizontal="center"/>
    </xf>
    <xf numFmtId="168" fontId="8" fillId="7" borderId="8" xfId="2" applyNumberFormat="1" applyFont="1" applyFill="1" applyBorder="1" applyAlignment="1">
      <alignment horizontal="center"/>
    </xf>
    <xf numFmtId="168" fontId="7" fillId="7" borderId="0" xfId="2" applyNumberFormat="1" applyFont="1" applyFill="1" applyBorder="1" applyAlignment="1">
      <alignment horizontal="right"/>
    </xf>
    <xf numFmtId="168" fontId="7" fillId="7" borderId="7" xfId="2" applyNumberFormat="1" applyFont="1" applyFill="1" applyBorder="1" applyAlignment="1">
      <alignment horizontal="right"/>
    </xf>
    <xf numFmtId="0" fontId="7" fillId="10" borderId="0" xfId="0" applyFont="1" applyFill="1"/>
    <xf numFmtId="0" fontId="7" fillId="10" borderId="0" xfId="0" applyFont="1" applyFill="1" applyAlignment="1">
      <alignment horizontal="center"/>
    </xf>
    <xf numFmtId="165" fontId="7" fillId="10" borderId="24" xfId="0" applyNumberFormat="1" applyFont="1" applyFill="1" applyBorder="1" applyAlignment="1">
      <alignment horizontal="center"/>
    </xf>
    <xf numFmtId="0" fontId="7" fillId="10" borderId="2" xfId="0" applyFont="1" applyFill="1" applyBorder="1"/>
    <xf numFmtId="0" fontId="7" fillId="10" borderId="2" xfId="0" applyFont="1" applyFill="1" applyBorder="1" applyAlignment="1">
      <alignment horizontal="center"/>
    </xf>
    <xf numFmtId="165" fontId="7" fillId="10" borderId="26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8" fillId="9" borderId="0" xfId="0" applyFont="1" applyFill="1" applyAlignment="1">
      <alignment horizontal="center" wrapText="1"/>
    </xf>
    <xf numFmtId="164" fontId="8" fillId="7" borderId="0" xfId="0" applyNumberFormat="1" applyFont="1" applyFill="1" applyAlignment="1">
      <alignment horizontal="center"/>
    </xf>
    <xf numFmtId="164" fontId="7" fillId="7" borderId="0" xfId="0" applyNumberFormat="1" applyFont="1" applyFill="1" applyAlignment="1">
      <alignment horizontal="center"/>
    </xf>
    <xf numFmtId="168" fontId="13" fillId="7" borderId="0" xfId="2" applyNumberFormat="1" applyFont="1" applyFill="1" applyBorder="1" applyAlignment="1">
      <alignment horizontal="center"/>
    </xf>
    <xf numFmtId="168" fontId="8" fillId="7" borderId="0" xfId="2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8" fillId="3" borderId="20" xfId="0" applyFont="1" applyFill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7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0" fontId="7" fillId="7" borderId="3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4" borderId="37" xfId="0" applyFont="1" applyFill="1" applyBorder="1" applyAlignment="1">
      <alignment horizontal="left"/>
    </xf>
    <xf numFmtId="0" fontId="2" fillId="4" borderId="38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</cellXfs>
  <cellStyles count="3">
    <cellStyle name="Normal" xfId="0" builtinId="0"/>
    <cellStyle name="Procent" xfId="2" builtinId="5"/>
    <cellStyle name="Valuta" xfId="1" builtin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195090</xdr:colOff>
      <xdr:row>27</xdr:row>
      <xdr:rowOff>133249</xdr:rowOff>
    </xdr:from>
    <xdr:to>
      <xdr:col>7</xdr:col>
      <xdr:colOff>698590</xdr:colOff>
      <xdr:row>47</xdr:row>
      <xdr:rowOff>170089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BB40FC15-CBD7-A41D-B91E-BCA51CB9A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090" y="5205598"/>
          <a:ext cx="7320187" cy="348166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473E-270E-4206-8442-51A6D3F23CA2}">
  <dimension ref="A1:AL197"/>
  <sheetViews>
    <sheetView topLeftCell="A5" zoomScale="109" zoomScaleNormal="109" workbookViewId="0">
      <selection activeCell="J24" sqref="J24"/>
    </sheetView>
  </sheetViews>
  <sheetFormatPr baseColWidth="10" defaultColWidth="9.1640625" defaultRowHeight="15" x14ac:dyDescent="0.2"/>
  <cols>
    <col min="1" max="1" width="10.6640625" style="13" customWidth="1"/>
    <col min="2" max="2" width="9.5" style="13" customWidth="1"/>
    <col min="3" max="4" width="10.6640625" style="13" customWidth="1"/>
    <col min="5" max="6" width="9.1640625" style="13"/>
    <col min="7" max="7" width="16.83203125" style="13" customWidth="1"/>
    <col min="8" max="8" width="9.1640625" style="13"/>
    <col min="9" max="9" width="15.5" style="177" hidden="1" customWidth="1"/>
    <col min="10" max="10" width="31.1640625" style="13" customWidth="1"/>
    <col min="11" max="11" width="8.83203125"/>
    <col min="12" max="12" width="9.1640625" style="2"/>
    <col min="13" max="13" width="12.6640625" style="2" customWidth="1"/>
    <col min="14" max="14" width="14.33203125" style="2" customWidth="1"/>
    <col min="15" max="18" width="14.6640625" style="2" customWidth="1"/>
    <col min="19" max="19" width="3.1640625" style="2" customWidth="1"/>
    <col min="20" max="21" width="15.6640625" style="13" customWidth="1"/>
    <col min="22" max="22" width="15.6640625" style="2" customWidth="1"/>
    <col min="23" max="24" width="15.6640625" style="13" customWidth="1"/>
    <col min="25" max="25" width="2.5" style="13" customWidth="1"/>
    <col min="26" max="26" width="17.1640625" style="13" customWidth="1"/>
    <col min="27" max="27" width="9.33203125" style="13" customWidth="1"/>
    <col min="28" max="30" width="9.33203125" style="2" customWidth="1"/>
    <col min="31" max="31" width="9.33203125" style="13" customWidth="1"/>
    <col min="32" max="34" width="9.33203125" style="2" customWidth="1"/>
    <col min="35" max="35" width="9.33203125" style="13" customWidth="1"/>
    <col min="36" max="38" width="9.33203125" style="2" customWidth="1"/>
    <col min="39" max="16384" width="9.1640625" style="13"/>
  </cols>
  <sheetData>
    <row r="1" spans="1:35" s="2" customFormat="1" ht="16" thickTop="1" x14ac:dyDescent="0.2">
      <c r="A1" s="15"/>
      <c r="B1" s="221" t="s">
        <v>155</v>
      </c>
      <c r="C1" s="222"/>
      <c r="D1" s="222"/>
      <c r="E1" s="222"/>
      <c r="F1" s="81"/>
      <c r="G1" s="82">
        <v>2023</v>
      </c>
      <c r="H1" s="15"/>
      <c r="I1" s="176">
        <v>2023</v>
      </c>
      <c r="J1" s="15"/>
      <c r="L1" s="15"/>
      <c r="M1" s="15"/>
      <c r="N1" s="53"/>
      <c r="O1" s="225"/>
      <c r="P1" s="226"/>
      <c r="Q1" s="225"/>
      <c r="R1" s="226"/>
      <c r="T1" s="13"/>
      <c r="U1" s="13"/>
      <c r="W1" s="13"/>
      <c r="X1" s="13"/>
      <c r="Y1" s="13"/>
      <c r="Z1" s="13"/>
      <c r="AA1" s="13"/>
      <c r="AE1" s="13"/>
      <c r="AI1" s="13"/>
    </row>
    <row r="2" spans="1:35" s="2" customFormat="1" ht="14" x14ac:dyDescent="0.2">
      <c r="A2" s="15"/>
      <c r="B2" s="83"/>
      <c r="C2" s="79" t="s">
        <v>1</v>
      </c>
      <c r="D2" s="80" t="s">
        <v>2</v>
      </c>
      <c r="E2" s="80" t="s">
        <v>6</v>
      </c>
      <c r="F2" s="78"/>
      <c r="G2" s="84">
        <f>'SE4'!P26</f>
        <v>2800.0139166666668</v>
      </c>
      <c r="H2" s="15"/>
      <c r="I2" s="176">
        <v>2310.2937500000003</v>
      </c>
      <c r="J2" s="15"/>
      <c r="L2" s="15"/>
      <c r="M2" s="15"/>
      <c r="N2" s="53"/>
      <c r="O2" s="53"/>
      <c r="P2" s="53"/>
      <c r="Q2" s="53"/>
      <c r="R2" s="53"/>
      <c r="T2" s="13"/>
      <c r="U2" s="13"/>
      <c r="W2" s="13"/>
      <c r="X2" s="13"/>
      <c r="Y2" s="13"/>
      <c r="Z2" s="13"/>
      <c r="AA2" s="13"/>
      <c r="AE2" s="13"/>
      <c r="AI2" s="13"/>
    </row>
    <row r="3" spans="1:35" s="2" customFormat="1" ht="14" x14ac:dyDescent="0.2">
      <c r="A3" s="15"/>
      <c r="B3" s="85"/>
      <c r="C3" s="80"/>
      <c r="D3" s="80"/>
      <c r="E3" s="80" t="s">
        <v>7</v>
      </c>
      <c r="F3" s="78"/>
      <c r="G3" s="84">
        <f>'SE4'!P27</f>
        <v>4770.0479166666664</v>
      </c>
      <c r="H3" s="15"/>
      <c r="I3" s="176">
        <v>4360.2620000000006</v>
      </c>
      <c r="J3" s="15"/>
      <c r="L3" s="15"/>
      <c r="M3" s="15"/>
      <c r="N3" s="53"/>
      <c r="O3" s="53"/>
      <c r="P3" s="38"/>
      <c r="Q3" s="53"/>
      <c r="R3" s="38"/>
      <c r="T3" s="13"/>
      <c r="U3" s="13"/>
      <c r="W3" s="13"/>
      <c r="X3" s="13"/>
      <c r="Y3" s="13"/>
      <c r="Z3" s="13"/>
      <c r="AA3" s="13"/>
      <c r="AE3" s="13"/>
      <c r="AI3" s="13"/>
    </row>
    <row r="4" spans="1:35" s="2" customFormat="1" ht="14" x14ac:dyDescent="0.2">
      <c r="A4" s="13"/>
      <c r="B4" s="85"/>
      <c r="C4" s="80"/>
      <c r="D4" s="80"/>
      <c r="E4" s="80" t="s">
        <v>8</v>
      </c>
      <c r="F4" s="78"/>
      <c r="G4" s="84">
        <f>'SE4'!P28</f>
        <v>3096.0139166666672</v>
      </c>
      <c r="H4" s="13"/>
      <c r="I4" s="177">
        <v>2482.9604166666668</v>
      </c>
      <c r="J4" s="13"/>
      <c r="O4" s="39"/>
      <c r="P4" s="33"/>
      <c r="Q4" s="39"/>
      <c r="R4" s="33"/>
      <c r="T4" s="13"/>
      <c r="U4" s="13"/>
      <c r="W4" s="13"/>
      <c r="X4" s="13"/>
      <c r="Y4" s="13"/>
      <c r="Z4" s="13"/>
      <c r="AA4" s="13"/>
      <c r="AE4" s="13"/>
      <c r="AI4" s="13"/>
    </row>
    <row r="5" spans="1:35" s="2" customFormat="1" ht="14" x14ac:dyDescent="0.2">
      <c r="A5" s="13"/>
      <c r="B5" s="85"/>
      <c r="C5" s="80"/>
      <c r="D5" s="80"/>
      <c r="E5" s="80" t="s">
        <v>9</v>
      </c>
      <c r="F5" s="78"/>
      <c r="G5" s="84">
        <f>'SE4'!P29</f>
        <v>5066.0479166666664</v>
      </c>
      <c r="H5" s="13"/>
      <c r="I5" s="177">
        <v>4532.9286666666667</v>
      </c>
      <c r="J5" s="13"/>
      <c r="O5" s="39"/>
      <c r="P5" s="33"/>
      <c r="Q5" s="39"/>
      <c r="R5" s="33"/>
      <c r="T5" s="13"/>
      <c r="U5" s="13"/>
      <c r="W5" s="13"/>
      <c r="X5" s="13"/>
      <c r="Y5" s="13"/>
      <c r="Z5" s="13"/>
      <c r="AA5" s="13"/>
      <c r="AE5" s="13"/>
      <c r="AI5" s="13"/>
    </row>
    <row r="6" spans="1:35" s="2" customFormat="1" ht="14" x14ac:dyDescent="0.2">
      <c r="A6" s="13"/>
      <c r="B6" s="85"/>
      <c r="C6" s="80"/>
      <c r="D6" s="72" t="s">
        <v>3</v>
      </c>
      <c r="E6" s="72" t="s">
        <v>6</v>
      </c>
      <c r="F6" s="73"/>
      <c r="G6" s="86">
        <f>'SE4'!P30</f>
        <v>3877.7963333333337</v>
      </c>
      <c r="H6" s="13"/>
      <c r="I6" s="177">
        <v>3054.4671874999999</v>
      </c>
      <c r="J6" s="13"/>
      <c r="O6" s="39"/>
      <c r="P6" s="33"/>
      <c r="Q6" s="39"/>
      <c r="R6" s="33"/>
      <c r="T6" s="13"/>
      <c r="U6" s="13"/>
      <c r="W6" s="13"/>
      <c r="X6" s="13"/>
      <c r="Y6" s="13"/>
      <c r="Z6" s="13"/>
      <c r="AA6" s="13"/>
      <c r="AE6" s="13"/>
      <c r="AI6" s="13"/>
    </row>
    <row r="7" spans="1:35" s="2" customFormat="1" ht="14" x14ac:dyDescent="0.2">
      <c r="A7" s="13"/>
      <c r="B7" s="85"/>
      <c r="C7" s="80"/>
      <c r="D7" s="80"/>
      <c r="E7" s="80" t="s">
        <v>7</v>
      </c>
      <c r="F7" s="78"/>
      <c r="G7" s="84">
        <f>'SE4'!P31</f>
        <v>5847.8303333333333</v>
      </c>
      <c r="H7" s="13"/>
      <c r="I7" s="177">
        <v>5104.4354375000003</v>
      </c>
      <c r="J7" s="13"/>
      <c r="O7" s="39"/>
      <c r="P7" s="33"/>
      <c r="Q7" s="39"/>
      <c r="R7" s="33"/>
      <c r="T7" s="13"/>
      <c r="U7" s="13"/>
      <c r="W7" s="13"/>
      <c r="X7" s="13"/>
      <c r="Y7" s="13"/>
      <c r="Z7" s="13"/>
      <c r="AA7" s="13"/>
      <c r="AE7" s="13"/>
      <c r="AI7" s="13"/>
    </row>
    <row r="8" spans="1:35" s="2" customFormat="1" ht="14" x14ac:dyDescent="0.2">
      <c r="A8" s="13"/>
      <c r="B8" s="85"/>
      <c r="C8" s="80"/>
      <c r="D8" s="80"/>
      <c r="E8" s="80" t="s">
        <v>8</v>
      </c>
      <c r="F8" s="78"/>
      <c r="G8" s="84">
        <f>'SE4'!P32</f>
        <v>4315.7963333333337</v>
      </c>
      <c r="H8" s="13"/>
      <c r="I8" s="177">
        <v>3309.9671875000004</v>
      </c>
      <c r="J8" s="13"/>
      <c r="O8" s="39"/>
      <c r="P8" s="33"/>
      <c r="Q8" s="39"/>
      <c r="R8" s="33"/>
      <c r="T8" s="13"/>
      <c r="U8" s="13"/>
      <c r="W8" s="13"/>
      <c r="X8" s="13"/>
      <c r="Y8" s="13"/>
      <c r="Z8" s="13"/>
      <c r="AA8" s="13"/>
      <c r="AE8" s="13"/>
      <c r="AI8" s="13"/>
    </row>
    <row r="9" spans="1:35" s="2" customFormat="1" ht="14" x14ac:dyDescent="0.2">
      <c r="A9" s="13"/>
      <c r="B9" s="85"/>
      <c r="C9" s="80"/>
      <c r="D9" s="80"/>
      <c r="E9" s="80" t="s">
        <v>9</v>
      </c>
      <c r="F9" s="78"/>
      <c r="G9" s="84">
        <f>'SE4'!P33</f>
        <v>6285.8303333333333</v>
      </c>
      <c r="H9" s="13"/>
      <c r="I9" s="177">
        <v>5359.9354375000003</v>
      </c>
      <c r="J9" s="13"/>
      <c r="O9" s="39"/>
      <c r="P9" s="33"/>
      <c r="Q9" s="39"/>
      <c r="R9" s="33"/>
      <c r="T9" s="13"/>
      <c r="U9" s="13"/>
      <c r="W9" s="13"/>
      <c r="X9" s="13"/>
      <c r="Y9" s="13"/>
      <c r="Z9" s="13"/>
      <c r="AA9" s="13"/>
      <c r="AE9" s="13"/>
      <c r="AI9" s="13"/>
    </row>
    <row r="10" spans="1:35" s="2" customFormat="1" ht="14" x14ac:dyDescent="0.2">
      <c r="A10" s="13"/>
      <c r="B10" s="85"/>
      <c r="C10" s="80"/>
      <c r="D10" s="72" t="s">
        <v>4</v>
      </c>
      <c r="E10" s="72" t="s">
        <v>6</v>
      </c>
      <c r="F10" s="73"/>
      <c r="G10" s="86">
        <f>'SE4'!P34</f>
        <v>5168.5114166666663</v>
      </c>
      <c r="H10" s="13"/>
      <c r="I10" s="177">
        <v>4424.5874999999996</v>
      </c>
      <c r="J10" s="13"/>
      <c r="O10" s="39"/>
      <c r="P10" s="33"/>
      <c r="Q10" s="39"/>
      <c r="R10" s="33"/>
      <c r="T10" s="13"/>
      <c r="U10" s="13"/>
      <c r="W10" s="13"/>
      <c r="X10" s="13"/>
      <c r="Y10" s="13"/>
      <c r="Z10" s="13"/>
      <c r="AA10" s="13"/>
      <c r="AE10" s="13"/>
      <c r="AI10" s="13"/>
    </row>
    <row r="11" spans="1:35" s="2" customFormat="1" ht="14" x14ac:dyDescent="0.2">
      <c r="A11" s="13"/>
      <c r="B11" s="85"/>
      <c r="C11" s="80"/>
      <c r="D11" s="80"/>
      <c r="E11" s="80" t="s">
        <v>7</v>
      </c>
      <c r="F11" s="78"/>
      <c r="G11" s="84">
        <f>'SE4'!P35</f>
        <v>7138.5454166666659</v>
      </c>
      <c r="H11" s="13"/>
      <c r="I11" s="177">
        <v>6474.5557499999995</v>
      </c>
      <c r="J11" s="13"/>
      <c r="O11" s="39"/>
      <c r="P11" s="33"/>
      <c r="Q11" s="39"/>
      <c r="R11" s="33"/>
      <c r="T11" s="13"/>
      <c r="U11" s="13"/>
      <c r="W11" s="13"/>
      <c r="X11" s="13"/>
      <c r="Y11" s="13"/>
      <c r="Z11" s="13"/>
      <c r="AA11" s="13"/>
      <c r="AE11" s="13"/>
      <c r="AI11" s="13"/>
    </row>
    <row r="12" spans="1:35" s="2" customFormat="1" ht="14" x14ac:dyDescent="0.2">
      <c r="A12" s="13"/>
      <c r="B12" s="85"/>
      <c r="C12" s="80"/>
      <c r="D12" s="80"/>
      <c r="E12" s="80" t="s">
        <v>8</v>
      </c>
      <c r="F12" s="78"/>
      <c r="G12" s="84">
        <f>'SE4'!P36</f>
        <v>5680.5114166666672</v>
      </c>
      <c r="H12" s="13"/>
      <c r="I12" s="177">
        <v>4723.2541666666666</v>
      </c>
      <c r="J12" s="13"/>
      <c r="O12" s="39"/>
      <c r="P12" s="33"/>
      <c r="Q12" s="39"/>
      <c r="R12" s="33"/>
      <c r="T12" s="13"/>
      <c r="U12" s="13"/>
      <c r="W12" s="13"/>
      <c r="X12" s="13"/>
      <c r="Y12" s="13"/>
      <c r="Z12" s="13"/>
      <c r="AA12" s="13"/>
      <c r="AE12" s="13"/>
      <c r="AI12" s="13"/>
    </row>
    <row r="13" spans="1:35" s="2" customFormat="1" ht="14" x14ac:dyDescent="0.2">
      <c r="A13" s="13"/>
      <c r="B13" s="85"/>
      <c r="C13" s="80"/>
      <c r="D13" s="80"/>
      <c r="E13" s="80" t="s">
        <v>9</v>
      </c>
      <c r="F13" s="78"/>
      <c r="G13" s="84">
        <f>'SE4'!P37</f>
        <v>7650.5454166666659</v>
      </c>
      <c r="H13" s="13"/>
      <c r="I13" s="177">
        <v>6773.2224166666665</v>
      </c>
      <c r="J13" s="13"/>
      <c r="O13" s="39"/>
      <c r="P13" s="33"/>
      <c r="Q13" s="39"/>
      <c r="R13" s="33"/>
      <c r="T13" s="13"/>
      <c r="U13" s="13"/>
      <c r="W13" s="13"/>
      <c r="X13" s="13"/>
      <c r="Y13" s="13"/>
      <c r="Z13" s="13"/>
      <c r="AA13" s="13"/>
      <c r="AE13" s="13"/>
      <c r="AI13" s="13"/>
    </row>
    <row r="14" spans="1:35" s="2" customFormat="1" ht="14" x14ac:dyDescent="0.2">
      <c r="A14" s="13"/>
      <c r="B14" s="85"/>
      <c r="C14" s="80"/>
      <c r="D14" s="72" t="s">
        <v>5</v>
      </c>
      <c r="E14" s="72" t="s">
        <v>6</v>
      </c>
      <c r="F14" s="73"/>
      <c r="G14" s="86">
        <f>'SE4'!P38</f>
        <v>7254.7843750000011</v>
      </c>
      <c r="H14" s="13"/>
      <c r="I14" s="177">
        <v>6421.4901041666672</v>
      </c>
      <c r="J14" s="13"/>
      <c r="O14" s="39"/>
      <c r="P14" s="33"/>
      <c r="Q14" s="39"/>
      <c r="R14" s="33"/>
      <c r="T14" s="13"/>
      <c r="U14" s="13"/>
      <c r="W14" s="13"/>
      <c r="X14" s="13"/>
      <c r="Y14" s="13"/>
      <c r="Z14" s="13"/>
      <c r="AA14" s="13"/>
      <c r="AE14" s="13"/>
      <c r="AI14" s="13"/>
    </row>
    <row r="15" spans="1:35" s="2" customFormat="1" ht="14" x14ac:dyDescent="0.2">
      <c r="A15" s="13"/>
      <c r="B15" s="85"/>
      <c r="C15" s="80"/>
      <c r="D15" s="80"/>
      <c r="E15" s="80" t="s">
        <v>7</v>
      </c>
      <c r="F15" s="78"/>
      <c r="G15" s="84">
        <f>'SE4'!P39</f>
        <v>9224.8183750000007</v>
      </c>
      <c r="H15" s="13"/>
      <c r="I15" s="177">
        <v>8471.458354166667</v>
      </c>
      <c r="J15" s="13"/>
      <c r="O15" s="39"/>
      <c r="P15" s="33"/>
      <c r="Q15" s="39"/>
      <c r="R15" s="33"/>
      <c r="T15" s="13"/>
      <c r="U15" s="13"/>
      <c r="W15" s="13"/>
      <c r="X15" s="13"/>
      <c r="Y15" s="13"/>
      <c r="Z15" s="13"/>
      <c r="AA15" s="13"/>
      <c r="AE15" s="13"/>
      <c r="AI15" s="13"/>
    </row>
    <row r="16" spans="1:35" s="2" customFormat="1" ht="14" x14ac:dyDescent="0.2">
      <c r="A16" s="13"/>
      <c r="B16" s="85"/>
      <c r="C16" s="80"/>
      <c r="D16" s="80"/>
      <c r="E16" s="80" t="s">
        <v>8</v>
      </c>
      <c r="F16" s="78"/>
      <c r="G16" s="84">
        <f>'SE4'!P40</f>
        <v>7988.7843750000011</v>
      </c>
      <c r="H16" s="13"/>
      <c r="I16" s="177">
        <v>6849.6567708333332</v>
      </c>
      <c r="J16" s="13"/>
      <c r="O16" s="39"/>
      <c r="P16" s="33"/>
      <c r="Q16" s="39"/>
      <c r="R16" s="33"/>
      <c r="T16" s="13"/>
      <c r="U16" s="13"/>
      <c r="W16" s="13"/>
      <c r="X16" s="13"/>
      <c r="Y16" s="13"/>
      <c r="Z16" s="13"/>
      <c r="AA16" s="13"/>
      <c r="AE16" s="13"/>
      <c r="AI16" s="13"/>
    </row>
    <row r="17" spans="2:38" x14ac:dyDescent="0.2">
      <c r="B17" s="85"/>
      <c r="C17" s="80"/>
      <c r="D17" s="80"/>
      <c r="E17" s="80" t="s">
        <v>9</v>
      </c>
      <c r="F17" s="78"/>
      <c r="G17" s="84">
        <f>'SE4'!P41</f>
        <v>9958.8183750000007</v>
      </c>
      <c r="I17" s="177">
        <v>8899.6250208333331</v>
      </c>
      <c r="O17" s="225"/>
      <c r="P17" s="226"/>
      <c r="Q17" s="225"/>
      <c r="R17" s="226"/>
    </row>
    <row r="18" spans="2:38" x14ac:dyDescent="0.2">
      <c r="B18" s="85"/>
      <c r="C18" s="74" t="s">
        <v>12</v>
      </c>
      <c r="D18" s="75" t="s">
        <v>2</v>
      </c>
      <c r="E18" s="75" t="s">
        <v>6</v>
      </c>
      <c r="F18" s="76"/>
      <c r="G18" s="87">
        <f>'SE4'!P42</f>
        <v>3686.0795833333332</v>
      </c>
      <c r="I18" s="177">
        <v>2873.1671875000002</v>
      </c>
      <c r="O18" s="224"/>
      <c r="P18" s="224"/>
      <c r="Q18" s="224"/>
      <c r="R18" s="224"/>
    </row>
    <row r="19" spans="2:38" x14ac:dyDescent="0.2">
      <c r="B19" s="85"/>
      <c r="C19" s="80"/>
      <c r="D19" s="80"/>
      <c r="E19" s="80" t="s">
        <v>7</v>
      </c>
      <c r="F19" s="78"/>
      <c r="G19" s="84">
        <f>'SE4'!P43</f>
        <v>5656.1135833333319</v>
      </c>
      <c r="H19" s="122"/>
      <c r="I19" s="177">
        <v>4923.1354375000001</v>
      </c>
      <c r="O19" s="38"/>
      <c r="P19" s="38"/>
      <c r="Q19" s="38"/>
      <c r="R19" s="38"/>
      <c r="U19" s="223"/>
      <c r="V19" s="224"/>
      <c r="W19" s="223"/>
      <c r="X19" s="224"/>
      <c r="Y19" s="2"/>
      <c r="Z19" s="2"/>
      <c r="AA19" s="223"/>
      <c r="AB19" s="224"/>
      <c r="AC19" s="224"/>
      <c r="AD19" s="224"/>
      <c r="AE19" s="223"/>
      <c r="AF19" s="224"/>
      <c r="AG19" s="224"/>
      <c r="AH19" s="224"/>
      <c r="AI19" s="223"/>
      <c r="AJ19" s="224"/>
      <c r="AK19" s="224"/>
      <c r="AL19" s="224"/>
    </row>
    <row r="20" spans="2:38" x14ac:dyDescent="0.2">
      <c r="B20" s="85"/>
      <c r="C20" s="80"/>
      <c r="D20" s="80"/>
      <c r="E20" s="80" t="s">
        <v>8</v>
      </c>
      <c r="F20" s="78"/>
      <c r="G20" s="84">
        <f>'SE4'!P44</f>
        <v>4050.0795833333336</v>
      </c>
      <c r="H20" s="122"/>
      <c r="I20" s="177">
        <v>3085.5005208333332</v>
      </c>
      <c r="O20" s="39"/>
      <c r="P20" s="39"/>
      <c r="Q20" s="39"/>
      <c r="R20" s="39"/>
      <c r="U20" s="9"/>
      <c r="V20" s="9"/>
      <c r="W20" s="9"/>
      <c r="X20" s="9"/>
      <c r="Y20" s="2"/>
      <c r="Z20" s="2"/>
      <c r="AA20" s="2"/>
      <c r="AE20" s="2"/>
      <c r="AI20" s="2"/>
    </row>
    <row r="21" spans="2:38" x14ac:dyDescent="0.2">
      <c r="B21" s="85"/>
      <c r="C21" s="80"/>
      <c r="D21" s="80"/>
      <c r="E21" s="80" t="s">
        <v>9</v>
      </c>
      <c r="F21" s="78"/>
      <c r="G21" s="84">
        <f>'SE4'!P45</f>
        <v>6020.1135833333328</v>
      </c>
      <c r="I21" s="177">
        <v>5135.4687708333331</v>
      </c>
      <c r="O21" s="39"/>
      <c r="P21" s="39"/>
      <c r="Q21" s="39"/>
      <c r="R21" s="39"/>
      <c r="U21" s="41"/>
      <c r="V21" s="41"/>
      <c r="W21" s="138"/>
      <c r="X21" s="41"/>
      <c r="Y21" s="41"/>
      <c r="Z21" s="1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2:38" x14ac:dyDescent="0.2">
      <c r="B22" s="85"/>
      <c r="C22" s="80"/>
      <c r="D22" s="72" t="s">
        <v>3</v>
      </c>
      <c r="E22" s="72" t="s">
        <v>6</v>
      </c>
      <c r="F22" s="73"/>
      <c r="G22" s="86">
        <f>'SE4'!P46</f>
        <v>4723.8620000000001</v>
      </c>
      <c r="I22" s="177">
        <v>3786.0773437499997</v>
      </c>
      <c r="O22" s="39"/>
      <c r="P22" s="39"/>
      <c r="Q22" s="39"/>
      <c r="R22" s="39"/>
      <c r="U22" s="41"/>
      <c r="V22" s="41"/>
      <c r="W22" s="138"/>
      <c r="X22" s="41"/>
      <c r="Y22" s="41"/>
      <c r="Z22" s="1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2:38" x14ac:dyDescent="0.2">
      <c r="B23" s="85"/>
      <c r="C23" s="80"/>
      <c r="D23" s="80"/>
      <c r="E23" s="80" t="s">
        <v>7</v>
      </c>
      <c r="F23" s="78"/>
      <c r="G23" s="84">
        <f>'SE4'!P47</f>
        <v>6693.8959999999988</v>
      </c>
      <c r="I23" s="177">
        <v>5836.0455937499992</v>
      </c>
      <c r="O23" s="39"/>
      <c r="P23" s="39"/>
      <c r="Q23" s="39"/>
      <c r="R23" s="39"/>
      <c r="U23" s="41"/>
      <c r="V23" s="41"/>
      <c r="W23" s="138"/>
      <c r="X23" s="41"/>
      <c r="Y23" s="41"/>
      <c r="Z23" s="1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2:38" x14ac:dyDescent="0.2">
      <c r="B24" s="85"/>
      <c r="C24" s="80"/>
      <c r="D24" s="80"/>
      <c r="E24" s="80" t="s">
        <v>8</v>
      </c>
      <c r="F24" s="78"/>
      <c r="G24" s="84">
        <f>'SE4'!P48</f>
        <v>5217.8620000000001</v>
      </c>
      <c r="I24" s="177">
        <v>4074.2440104166662</v>
      </c>
      <c r="U24" s="41"/>
      <c r="V24" s="41"/>
      <c r="W24" s="138"/>
      <c r="X24" s="41"/>
      <c r="Y24" s="41"/>
      <c r="Z24" s="1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2:38" x14ac:dyDescent="0.2">
      <c r="B25" s="85"/>
      <c r="C25" s="80"/>
      <c r="D25" s="80"/>
      <c r="E25" s="80" t="s">
        <v>9</v>
      </c>
      <c r="F25" s="78"/>
      <c r="G25" s="84">
        <f>'SE4'!P49</f>
        <v>7187.8959999999988</v>
      </c>
      <c r="H25" s="122"/>
      <c r="I25" s="177">
        <v>6124.2122604166661</v>
      </c>
      <c r="L25" s="42"/>
      <c r="U25" s="41"/>
      <c r="V25" s="41"/>
      <c r="W25" s="138"/>
      <c r="X25" s="41"/>
      <c r="Y25" s="41"/>
      <c r="Z25" s="1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2:38" x14ac:dyDescent="0.2">
      <c r="B26" s="85"/>
      <c r="C26" s="80"/>
      <c r="D26" s="72" t="s">
        <v>4</v>
      </c>
      <c r="E26" s="72" t="s">
        <v>6</v>
      </c>
      <c r="F26" s="73"/>
      <c r="G26" s="86">
        <f>'SE4'!P50</f>
        <v>6917.6133958333339</v>
      </c>
      <c r="I26" s="177">
        <v>6235.0812500000002</v>
      </c>
      <c r="L26" s="42"/>
      <c r="U26" s="41"/>
      <c r="V26" s="41"/>
      <c r="W26" s="138"/>
      <c r="X26" s="41"/>
      <c r="Y26" s="41"/>
      <c r="Z26" s="1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2:38" x14ac:dyDescent="0.2">
      <c r="B27" s="85"/>
      <c r="C27" s="80"/>
      <c r="D27" s="80"/>
      <c r="E27" s="80" t="s">
        <v>7</v>
      </c>
      <c r="F27" s="78"/>
      <c r="G27" s="84">
        <f>'SE4'!P51</f>
        <v>8887.6473958333336</v>
      </c>
      <c r="I27" s="177">
        <v>8285.049500000001</v>
      </c>
      <c r="L27" s="42"/>
      <c r="U27" s="41"/>
      <c r="V27" s="41"/>
      <c r="W27" s="138"/>
      <c r="X27" s="41"/>
      <c r="Y27" s="41"/>
      <c r="Z27" s="1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2:38" x14ac:dyDescent="0.2">
      <c r="B28" s="85"/>
      <c r="C28" s="80"/>
      <c r="D28" s="80"/>
      <c r="E28" s="80" t="s">
        <v>8</v>
      </c>
      <c r="F28" s="78"/>
      <c r="G28" s="84">
        <f>'SE4'!P52</f>
        <v>7521.6133958333339</v>
      </c>
      <c r="I28" s="177">
        <v>6587.4145833333332</v>
      </c>
      <c r="L28" s="42"/>
      <c r="U28" s="41"/>
      <c r="V28" s="41"/>
      <c r="W28" s="138"/>
      <c r="X28" s="41"/>
      <c r="Y28" s="41"/>
      <c r="Z28" s="1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2:38" x14ac:dyDescent="0.2">
      <c r="B29" s="85"/>
      <c r="C29" s="80"/>
      <c r="D29" s="80"/>
      <c r="E29" s="80" t="s">
        <v>9</v>
      </c>
      <c r="F29" s="78"/>
      <c r="G29" s="84">
        <f>'SE4'!P53</f>
        <v>9491.6473958333336</v>
      </c>
      <c r="I29" s="177">
        <v>8637.3828333333331</v>
      </c>
      <c r="U29" s="41"/>
      <c r="V29" s="41"/>
      <c r="W29" s="138"/>
      <c r="X29" s="41"/>
      <c r="Y29" s="41"/>
      <c r="Z29" s="1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2:38" x14ac:dyDescent="0.2">
      <c r="B30" s="85"/>
      <c r="C30" s="80"/>
      <c r="D30" s="72" t="s">
        <v>5</v>
      </c>
      <c r="E30" s="72" t="s">
        <v>6</v>
      </c>
      <c r="F30" s="73"/>
      <c r="G30" s="86">
        <f>'SE4'!P54</f>
        <v>8655.1989583333343</v>
      </c>
      <c r="I30" s="177">
        <v>8422.4572916666675</v>
      </c>
      <c r="N30" s="223"/>
      <c r="O30" s="224"/>
      <c r="P30" s="15"/>
      <c r="U30" s="41"/>
      <c r="V30" s="41"/>
      <c r="W30" s="139"/>
      <c r="X30" s="41"/>
      <c r="Y30" s="41"/>
      <c r="Z30" s="1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2:38" x14ac:dyDescent="0.2">
      <c r="B31" s="85"/>
      <c r="C31" s="80"/>
      <c r="D31" s="80"/>
      <c r="E31" s="80" t="s">
        <v>7</v>
      </c>
      <c r="F31" s="78"/>
      <c r="G31" s="84">
        <f>'SE4'!P55</f>
        <v>10625.232958333334</v>
      </c>
      <c r="I31" s="177">
        <v>10472.425541666667</v>
      </c>
      <c r="N31" s="15"/>
      <c r="O31" s="15"/>
      <c r="P31" s="15"/>
      <c r="U31" s="41"/>
      <c r="V31" s="41"/>
      <c r="W31" s="138"/>
      <c r="X31" s="41"/>
      <c r="Y31" s="41"/>
      <c r="Z31" s="1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2:38" x14ac:dyDescent="0.2">
      <c r="B32" s="85"/>
      <c r="C32" s="80"/>
      <c r="D32" s="80"/>
      <c r="E32" s="80" t="s">
        <v>8</v>
      </c>
      <c r="F32" s="78"/>
      <c r="G32" s="84">
        <f>'SE4'!P56</f>
        <v>9397.1989583333343</v>
      </c>
      <c r="I32" s="177">
        <v>8855.2906250000015</v>
      </c>
      <c r="N32" s="13"/>
      <c r="P32" s="15"/>
      <c r="U32" s="45"/>
      <c r="V32" s="41"/>
      <c r="W32" s="138"/>
      <c r="X32" s="41"/>
      <c r="Y32" s="41"/>
      <c r="Z32" s="1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2:38" x14ac:dyDescent="0.2">
      <c r="B33" s="85"/>
      <c r="C33" s="80"/>
      <c r="D33" s="80"/>
      <c r="E33" s="80" t="s">
        <v>9</v>
      </c>
      <c r="F33" s="78"/>
      <c r="G33" s="84">
        <f>'SE4'!P57</f>
        <v>11367.232958333334</v>
      </c>
      <c r="I33" s="177">
        <v>10905.258875000001</v>
      </c>
      <c r="M33" s="15"/>
      <c r="N33" s="19"/>
      <c r="O33" s="41"/>
      <c r="P33" s="41"/>
      <c r="U33" s="19"/>
      <c r="V33" s="19"/>
      <c r="W33" s="19"/>
      <c r="X33" s="19"/>
      <c r="Y33" s="19"/>
      <c r="Z33" s="15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x14ac:dyDescent="0.2">
      <c r="B34" s="85"/>
      <c r="C34" s="74" t="s">
        <v>13</v>
      </c>
      <c r="D34" s="75" t="s">
        <v>2</v>
      </c>
      <c r="E34" s="75" t="s">
        <v>6</v>
      </c>
      <c r="F34" s="76"/>
      <c r="G34" s="87">
        <f>'SE4'!P58</f>
        <v>4610.3283333333329</v>
      </c>
      <c r="I34" s="177">
        <v>3607.1229166666662</v>
      </c>
      <c r="M34" s="15"/>
      <c r="N34" s="19"/>
      <c r="O34" s="41"/>
      <c r="P34" s="41"/>
      <c r="T34" s="15"/>
      <c r="U34" s="19"/>
      <c r="V34" s="19"/>
      <c r="W34" s="19"/>
      <c r="X34" s="19"/>
      <c r="Y34" s="19"/>
      <c r="Z34" s="44"/>
      <c r="AA34" s="2"/>
      <c r="AE34" s="2"/>
      <c r="AI34" s="2"/>
    </row>
    <row r="35" spans="2:38" x14ac:dyDescent="0.2">
      <c r="B35" s="85"/>
      <c r="C35" s="80"/>
      <c r="D35" s="80"/>
      <c r="E35" s="80" t="s">
        <v>7</v>
      </c>
      <c r="F35" s="78"/>
      <c r="G35" s="84">
        <f>'SE4'!P59</f>
        <v>6580.3623333333326</v>
      </c>
      <c r="I35" s="177">
        <v>5657.0911666666661</v>
      </c>
      <c r="M35" s="15"/>
      <c r="N35" s="19"/>
      <c r="O35" s="41"/>
      <c r="P35" s="41"/>
      <c r="T35" s="46"/>
      <c r="U35" s="2"/>
      <c r="V35" s="5"/>
      <c r="W35" s="2"/>
      <c r="X35" s="5"/>
      <c r="Y35" s="5"/>
      <c r="Z35" s="5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spans="2:38" x14ac:dyDescent="0.2">
      <c r="B36" s="85"/>
      <c r="C36" s="80"/>
      <c r="D36" s="80"/>
      <c r="E36" s="80" t="s">
        <v>8</v>
      </c>
      <c r="F36" s="78"/>
      <c r="G36" s="84">
        <f>'SE4'!P60</f>
        <v>5004.3283333333329</v>
      </c>
      <c r="I36" s="177">
        <v>3836.9562500000002</v>
      </c>
      <c r="M36" s="15"/>
      <c r="N36" s="19"/>
      <c r="O36" s="41"/>
      <c r="P36" s="41"/>
      <c r="T36" s="47"/>
      <c r="U36" s="2"/>
      <c r="V36" s="42"/>
      <c r="W36" s="2"/>
      <c r="X36" s="42"/>
      <c r="Y36" s="42"/>
      <c r="Z36" s="42"/>
      <c r="AB36" s="13"/>
      <c r="AC36" s="13"/>
      <c r="AD36" s="13"/>
      <c r="AF36" s="13"/>
      <c r="AG36" s="13"/>
      <c r="AH36" s="13"/>
      <c r="AJ36" s="13"/>
      <c r="AK36" s="13"/>
      <c r="AL36" s="13"/>
    </row>
    <row r="37" spans="2:38" x14ac:dyDescent="0.2">
      <c r="B37" s="85"/>
      <c r="C37" s="80"/>
      <c r="D37" s="80"/>
      <c r="E37" s="80" t="s">
        <v>9</v>
      </c>
      <c r="F37" s="78"/>
      <c r="G37" s="84">
        <f>'SE4'!P61</f>
        <v>6974.3623333333326</v>
      </c>
      <c r="I37" s="177">
        <v>5886.9245000000001</v>
      </c>
      <c r="M37" s="15"/>
      <c r="N37" s="19"/>
      <c r="O37" s="41"/>
      <c r="P37" s="41"/>
      <c r="T37" s="46"/>
      <c r="U37" s="2"/>
      <c r="V37" s="15"/>
      <c r="W37" s="2"/>
      <c r="X37" s="15"/>
      <c r="Y37" s="15"/>
      <c r="Z37" s="15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x14ac:dyDescent="0.2">
      <c r="B38" s="85"/>
      <c r="C38" s="80"/>
      <c r="D38" s="72" t="s">
        <v>3</v>
      </c>
      <c r="E38" s="72" t="s">
        <v>6</v>
      </c>
      <c r="F38" s="73"/>
      <c r="G38" s="86">
        <f>'SE4'!P62</f>
        <v>6602.2593333333343</v>
      </c>
      <c r="I38" s="177">
        <v>5657.5078125</v>
      </c>
      <c r="M38" s="15"/>
      <c r="N38" s="19"/>
      <c r="O38" s="41"/>
      <c r="P38" s="41"/>
      <c r="Z38" s="15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x14ac:dyDescent="0.2">
      <c r="B39" s="85"/>
      <c r="C39" s="80"/>
      <c r="D39" s="80"/>
      <c r="E39" s="80" t="s">
        <v>7</v>
      </c>
      <c r="F39" s="78"/>
      <c r="G39" s="84">
        <f>'SE4'!P63</f>
        <v>8572.2933333333331</v>
      </c>
      <c r="I39" s="177">
        <v>7707.4760624999999</v>
      </c>
      <c r="M39" s="15"/>
      <c r="N39" s="19"/>
      <c r="O39" s="41"/>
      <c r="P39" s="41"/>
      <c r="Z39" s="15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x14ac:dyDescent="0.2">
      <c r="B40" s="85"/>
      <c r="C40" s="80"/>
      <c r="D40" s="80"/>
      <c r="E40" s="80" t="s">
        <v>8</v>
      </c>
      <c r="F40" s="78"/>
      <c r="G40" s="84">
        <f>'SE4'!P64</f>
        <v>7132.2593333333352</v>
      </c>
      <c r="I40" s="177">
        <v>5966.674479166667</v>
      </c>
      <c r="M40" s="15"/>
      <c r="N40" s="19"/>
      <c r="O40" s="41"/>
      <c r="P40" s="41"/>
      <c r="Z40" s="15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x14ac:dyDescent="0.2">
      <c r="B41" s="85"/>
      <c r="C41" s="80"/>
      <c r="D41" s="80"/>
      <c r="E41" s="80" t="s">
        <v>9</v>
      </c>
      <c r="F41" s="78"/>
      <c r="G41" s="84">
        <f>'SE4'!P65</f>
        <v>9102.2933333333349</v>
      </c>
      <c r="I41" s="177">
        <v>8016.6427291666669</v>
      </c>
      <c r="M41" s="15"/>
      <c r="N41" s="19"/>
      <c r="O41" s="41"/>
      <c r="P41" s="41"/>
      <c r="Z41" s="15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x14ac:dyDescent="0.2">
      <c r="B42" s="85"/>
      <c r="C42" s="80"/>
      <c r="D42" s="72" t="s">
        <v>4</v>
      </c>
      <c r="E42" s="72" t="s">
        <v>6</v>
      </c>
      <c r="F42" s="73"/>
      <c r="G42" s="86">
        <f>'SE4'!P66</f>
        <v>9130.3561666666683</v>
      </c>
      <c r="I42" s="177">
        <v>7962.2750000000005</v>
      </c>
      <c r="M42" s="15"/>
      <c r="N42" s="19"/>
      <c r="O42" s="41"/>
      <c r="P42" s="41"/>
      <c r="Z42" s="15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x14ac:dyDescent="0.2">
      <c r="B43" s="85"/>
      <c r="C43" s="80"/>
      <c r="D43" s="80"/>
      <c r="E43" s="80" t="s">
        <v>7</v>
      </c>
      <c r="F43" s="78"/>
      <c r="G43" s="84">
        <f>'SE4'!P67</f>
        <v>11100.390166666668</v>
      </c>
      <c r="I43" s="177">
        <v>10012.24325</v>
      </c>
      <c r="M43" s="15"/>
      <c r="N43" s="19"/>
      <c r="O43" s="41"/>
      <c r="P43" s="41"/>
      <c r="Z43" s="15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x14ac:dyDescent="0.2">
      <c r="B44" s="85"/>
      <c r="C44" s="80"/>
      <c r="D44" s="80"/>
      <c r="E44" s="80" t="s">
        <v>8</v>
      </c>
      <c r="F44" s="78"/>
      <c r="G44" s="84">
        <f>'SE4'!P68</f>
        <v>9792.3561666666683</v>
      </c>
      <c r="I44" s="177">
        <v>8348.4416666666675</v>
      </c>
      <c r="M44" s="15"/>
      <c r="N44" s="19"/>
      <c r="O44" s="45"/>
      <c r="P44" s="41"/>
      <c r="Z44" s="15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x14ac:dyDescent="0.2">
      <c r="B45" s="85"/>
      <c r="C45" s="80"/>
      <c r="D45" s="80"/>
      <c r="E45" s="80" t="s">
        <v>9</v>
      </c>
      <c r="F45" s="78"/>
      <c r="G45" s="84">
        <f>'SE4'!P69</f>
        <v>11762.390166666668</v>
      </c>
      <c r="I45" s="177">
        <v>10398.409916666667</v>
      </c>
      <c r="M45" s="15"/>
      <c r="N45" s="19"/>
      <c r="O45" s="19"/>
      <c r="P45" s="19"/>
      <c r="Z45" s="15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x14ac:dyDescent="0.2">
      <c r="B46" s="85"/>
      <c r="C46" s="80"/>
      <c r="D46" s="72" t="s">
        <v>5</v>
      </c>
      <c r="E46" s="72" t="s">
        <v>6</v>
      </c>
      <c r="F46" s="73"/>
      <c r="G46" s="86">
        <f>'SE4'!P70</f>
        <v>10242.694791666667</v>
      </c>
      <c r="I46" s="177">
        <v>9551.2244791666653</v>
      </c>
      <c r="M46" s="46"/>
      <c r="N46" s="46"/>
      <c r="P46" s="5"/>
      <c r="Z46" s="15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x14ac:dyDescent="0.2">
      <c r="B47" s="85"/>
      <c r="C47" s="80"/>
      <c r="D47" s="80"/>
      <c r="E47" s="80" t="s">
        <v>7</v>
      </c>
      <c r="F47" s="78"/>
      <c r="G47" s="84">
        <f>'SE4'!P71</f>
        <v>12212.728791666666</v>
      </c>
      <c r="I47" s="177">
        <v>11601.192729166665</v>
      </c>
      <c r="M47" s="47"/>
      <c r="N47" s="47"/>
      <c r="P47" s="42"/>
      <c r="Z47" s="15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x14ac:dyDescent="0.2">
      <c r="B48" s="85"/>
      <c r="C48" s="80"/>
      <c r="D48" s="80"/>
      <c r="E48" s="80" t="s">
        <v>8</v>
      </c>
      <c r="F48" s="78"/>
      <c r="G48" s="84">
        <f>'SE4'!P72</f>
        <v>12994.028125000001</v>
      </c>
      <c r="I48" s="177">
        <v>11431.191145833334</v>
      </c>
      <c r="M48" s="46"/>
      <c r="N48" s="46"/>
      <c r="P48" s="15"/>
      <c r="Z48" s="15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ht="16" thickBot="1" x14ac:dyDescent="0.25">
      <c r="B49" s="88"/>
      <c r="C49" s="89"/>
      <c r="D49" s="89"/>
      <c r="E49" s="89" t="s">
        <v>9</v>
      </c>
      <c r="F49" s="90"/>
      <c r="G49" s="91">
        <f>'SE4'!P73</f>
        <v>14964.062125</v>
      </c>
      <c r="I49" s="177">
        <v>13481.159395833334</v>
      </c>
      <c r="Z49" s="15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ht="16" thickTop="1" x14ac:dyDescent="0.2">
      <c r="B50" s="221" t="s">
        <v>156</v>
      </c>
      <c r="C50" s="222"/>
      <c r="D50" s="222"/>
      <c r="E50" s="222"/>
      <c r="F50" s="81"/>
      <c r="G50" s="82"/>
      <c r="Z50" s="15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x14ac:dyDescent="0.2">
      <c r="B51" s="83"/>
      <c r="C51" s="79" t="s">
        <v>1</v>
      </c>
      <c r="D51" s="80" t="s">
        <v>2</v>
      </c>
      <c r="E51" s="80" t="s">
        <v>6</v>
      </c>
      <c r="F51" s="78"/>
      <c r="G51" s="84">
        <f>'SE3'!O26</f>
        <v>2175.9540416666669</v>
      </c>
      <c r="I51" s="177">
        <v>2258.7281249999996</v>
      </c>
      <c r="Z51" s="15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x14ac:dyDescent="0.2">
      <c r="B52" s="85"/>
      <c r="C52" s="80"/>
      <c r="D52" s="80"/>
      <c r="E52" s="80" t="s">
        <v>7</v>
      </c>
      <c r="F52" s="78"/>
      <c r="G52" s="84">
        <f>'SE3'!O27</f>
        <v>3772.860341666667</v>
      </c>
      <c r="I52" s="177">
        <v>3897.2437124999992</v>
      </c>
    </row>
    <row r="53" spans="2:38" x14ac:dyDescent="0.2">
      <c r="B53" s="85"/>
      <c r="C53" s="80"/>
      <c r="D53" s="80"/>
      <c r="E53" s="80" t="s">
        <v>8</v>
      </c>
      <c r="F53" s="78"/>
      <c r="G53" s="84">
        <f>'SE3'!O28</f>
        <v>2383.1540416666671</v>
      </c>
      <c r="I53" s="177">
        <v>2487.3947916666666</v>
      </c>
    </row>
    <row r="54" spans="2:38" x14ac:dyDescent="0.2">
      <c r="B54" s="85"/>
      <c r="C54" s="80"/>
      <c r="D54" s="80"/>
      <c r="E54" s="80" t="s">
        <v>9</v>
      </c>
      <c r="F54" s="78"/>
      <c r="G54" s="84">
        <f>'SE3'!O29</f>
        <v>3980.0603416666672</v>
      </c>
      <c r="I54" s="177">
        <v>4125.9103791666657</v>
      </c>
    </row>
    <row r="55" spans="2:38" x14ac:dyDescent="0.2">
      <c r="B55" s="85"/>
      <c r="C55" s="80"/>
      <c r="D55" s="72" t="s">
        <v>3</v>
      </c>
      <c r="E55" s="72" t="s">
        <v>6</v>
      </c>
      <c r="F55" s="73"/>
      <c r="G55" s="86">
        <f>'SE3'!O30</f>
        <v>3002.3831666666665</v>
      </c>
      <c r="I55" s="177">
        <v>2801.3601562500003</v>
      </c>
    </row>
    <row r="56" spans="2:38" x14ac:dyDescent="0.2">
      <c r="B56" s="85"/>
      <c r="C56" s="80"/>
      <c r="D56" s="80"/>
      <c r="E56" s="80" t="s">
        <v>7</v>
      </c>
      <c r="F56" s="78"/>
      <c r="G56" s="84">
        <f>'SE3'!O31</f>
        <v>4599.2894666666671</v>
      </c>
      <c r="I56" s="177">
        <v>4439.8757437499999</v>
      </c>
    </row>
    <row r="57" spans="2:38" x14ac:dyDescent="0.2">
      <c r="B57" s="85"/>
      <c r="C57" s="80"/>
      <c r="D57" s="80"/>
      <c r="E57" s="80" t="s">
        <v>8</v>
      </c>
      <c r="F57" s="78"/>
      <c r="G57" s="84">
        <f>'SE3'!O32</f>
        <v>3308.9831666666669</v>
      </c>
      <c r="I57" s="177">
        <v>3081.9434895833338</v>
      </c>
    </row>
    <row r="58" spans="2:38" x14ac:dyDescent="0.2">
      <c r="B58" s="85"/>
      <c r="C58" s="80"/>
      <c r="D58" s="80"/>
      <c r="E58" s="80" t="s">
        <v>9</v>
      </c>
      <c r="F58" s="78"/>
      <c r="G58" s="84">
        <f>'SE3'!O33</f>
        <v>4905.8894666666674</v>
      </c>
      <c r="I58" s="177">
        <v>4720.4590770833329</v>
      </c>
    </row>
    <row r="59" spans="2:38" x14ac:dyDescent="0.2">
      <c r="B59" s="85"/>
      <c r="C59" s="80"/>
      <c r="D59" s="72" t="s">
        <v>4</v>
      </c>
      <c r="E59" s="72" t="s">
        <v>6</v>
      </c>
      <c r="F59" s="73"/>
      <c r="G59" s="86">
        <f>'SE3'!O34</f>
        <v>4030.2152916666669</v>
      </c>
      <c r="I59" s="177">
        <v>3914.7562499999999</v>
      </c>
    </row>
    <row r="60" spans="2:38" x14ac:dyDescent="0.2">
      <c r="B60" s="85"/>
      <c r="C60" s="80"/>
      <c r="D60" s="80"/>
      <c r="E60" s="80" t="s">
        <v>7</v>
      </c>
      <c r="F60" s="78"/>
      <c r="G60" s="84">
        <f>'SE3'!O35</f>
        <v>5627.121591666667</v>
      </c>
      <c r="I60" s="177">
        <v>5553.2718374999995</v>
      </c>
    </row>
    <row r="61" spans="2:38" x14ac:dyDescent="0.2">
      <c r="B61" s="85"/>
      <c r="C61" s="80"/>
      <c r="D61" s="80"/>
      <c r="E61" s="80" t="s">
        <v>8</v>
      </c>
      <c r="F61" s="78"/>
      <c r="G61" s="84">
        <f>'SE3'!O36</f>
        <v>4388.615291666667</v>
      </c>
      <c r="I61" s="177">
        <v>4228.5895833333334</v>
      </c>
    </row>
    <row r="62" spans="2:38" x14ac:dyDescent="0.2">
      <c r="B62" s="85"/>
      <c r="C62" s="80"/>
      <c r="D62" s="80"/>
      <c r="E62" s="80" t="s">
        <v>9</v>
      </c>
      <c r="F62" s="78"/>
      <c r="G62" s="84">
        <f>'SE3'!O37</f>
        <v>5985.5215916666675</v>
      </c>
      <c r="I62" s="177">
        <v>5867.1051708333325</v>
      </c>
    </row>
    <row r="63" spans="2:38" x14ac:dyDescent="0.2">
      <c r="B63" s="85"/>
      <c r="C63" s="80"/>
      <c r="D63" s="72" t="s">
        <v>5</v>
      </c>
      <c r="E63" s="72" t="s">
        <v>6</v>
      </c>
      <c r="F63" s="73"/>
      <c r="G63" s="86">
        <f>'SE3'!O38</f>
        <v>5650.9286458333336</v>
      </c>
      <c r="I63" s="177">
        <v>5379.2903645833339</v>
      </c>
    </row>
    <row r="64" spans="2:38" x14ac:dyDescent="0.2">
      <c r="B64" s="85"/>
      <c r="C64" s="80"/>
      <c r="D64" s="80"/>
      <c r="E64" s="80" t="s">
        <v>7</v>
      </c>
      <c r="F64" s="78"/>
      <c r="G64" s="84">
        <f>'SE3'!O39</f>
        <v>7247.8349458333341</v>
      </c>
      <c r="I64" s="177">
        <v>7017.805952083334</v>
      </c>
    </row>
    <row r="65" spans="2:9" x14ac:dyDescent="0.2">
      <c r="B65" s="85"/>
      <c r="C65" s="80"/>
      <c r="D65" s="80"/>
      <c r="E65" s="80" t="s">
        <v>8</v>
      </c>
      <c r="F65" s="78"/>
      <c r="G65" s="84">
        <f>'SE3'!O40</f>
        <v>6164.7286458333338</v>
      </c>
      <c r="I65" s="177">
        <v>5758.45703125</v>
      </c>
    </row>
    <row r="66" spans="2:9" x14ac:dyDescent="0.2">
      <c r="B66" s="85"/>
      <c r="C66" s="80"/>
      <c r="D66" s="80"/>
      <c r="E66" s="80" t="s">
        <v>9</v>
      </c>
      <c r="F66" s="78"/>
      <c r="G66" s="84">
        <f>'SE3'!O41</f>
        <v>7761.6349458333334</v>
      </c>
      <c r="I66" s="177">
        <v>7396.97261875</v>
      </c>
    </row>
    <row r="67" spans="2:9" x14ac:dyDescent="0.2">
      <c r="B67" s="85"/>
      <c r="C67" s="74" t="s">
        <v>12</v>
      </c>
      <c r="D67" s="75" t="s">
        <v>2</v>
      </c>
      <c r="E67" s="75" t="s">
        <v>6</v>
      </c>
      <c r="F67" s="76"/>
      <c r="G67" s="87">
        <f>'SE3'!O42</f>
        <v>2874.7252083333333</v>
      </c>
      <c r="I67" s="177">
        <v>2612.7101562500002</v>
      </c>
    </row>
    <row r="68" spans="2:9" x14ac:dyDescent="0.2">
      <c r="B68" s="85"/>
      <c r="C68" s="80"/>
      <c r="D68" s="80"/>
      <c r="E68" s="80" t="s">
        <v>7</v>
      </c>
      <c r="F68" s="78"/>
      <c r="G68" s="84">
        <f>'SE3'!O43</f>
        <v>4471.6315083333338</v>
      </c>
      <c r="I68" s="177">
        <v>4251.2257437499993</v>
      </c>
    </row>
    <row r="69" spans="2:9" x14ac:dyDescent="0.2">
      <c r="B69" s="85"/>
      <c r="C69" s="80"/>
      <c r="D69" s="80"/>
      <c r="E69" s="80" t="s">
        <v>8</v>
      </c>
      <c r="F69" s="78"/>
      <c r="G69" s="84">
        <f>'SE3'!O44</f>
        <v>3129.5252083333335</v>
      </c>
      <c r="I69" s="177">
        <v>2848.3768229166672</v>
      </c>
    </row>
    <row r="70" spans="2:9" x14ac:dyDescent="0.2">
      <c r="B70" s="85"/>
      <c r="C70" s="80"/>
      <c r="D70" s="80"/>
      <c r="E70" s="80" t="s">
        <v>9</v>
      </c>
      <c r="F70" s="78"/>
      <c r="G70" s="84">
        <f>'SE3'!O45</f>
        <v>4726.4315083333331</v>
      </c>
      <c r="I70" s="177">
        <v>4486.8924104166672</v>
      </c>
    </row>
    <row r="71" spans="2:9" x14ac:dyDescent="0.2">
      <c r="B71" s="85"/>
      <c r="C71" s="80"/>
      <c r="D71" s="72" t="s">
        <v>3</v>
      </c>
      <c r="E71" s="72" t="s">
        <v>6</v>
      </c>
      <c r="F71" s="73"/>
      <c r="G71" s="86">
        <f>'SE3'!O46</f>
        <v>3673.1543333333334</v>
      </c>
      <c r="I71" s="177">
        <v>3347.033203125</v>
      </c>
    </row>
    <row r="72" spans="2:9" x14ac:dyDescent="0.2">
      <c r="B72" s="85"/>
      <c r="C72" s="80"/>
      <c r="D72" s="80"/>
      <c r="E72" s="80" t="s">
        <v>7</v>
      </c>
      <c r="F72" s="78"/>
      <c r="G72" s="84">
        <f>'SE3'!O47</f>
        <v>5270.0606333333335</v>
      </c>
      <c r="I72" s="177">
        <v>4985.548790625</v>
      </c>
    </row>
    <row r="73" spans="2:9" x14ac:dyDescent="0.2">
      <c r="B73" s="85"/>
      <c r="C73" s="80"/>
      <c r="D73" s="80"/>
      <c r="E73" s="80" t="s">
        <v>8</v>
      </c>
      <c r="F73" s="78"/>
      <c r="G73" s="84">
        <f>'SE3'!O48</f>
        <v>4018.9543333333331</v>
      </c>
      <c r="I73" s="177">
        <v>3641.6165364583335</v>
      </c>
    </row>
    <row r="74" spans="2:9" x14ac:dyDescent="0.2">
      <c r="B74" s="85"/>
      <c r="C74" s="80"/>
      <c r="D74" s="80"/>
      <c r="E74" s="80" t="s">
        <v>9</v>
      </c>
      <c r="F74" s="78"/>
      <c r="G74" s="84">
        <f>'SE3'!O49</f>
        <v>5615.8606333333337</v>
      </c>
      <c r="I74" s="177">
        <v>5280.1321239583331</v>
      </c>
    </row>
    <row r="75" spans="2:9" x14ac:dyDescent="0.2">
      <c r="B75" s="85"/>
      <c r="C75" s="80"/>
      <c r="D75" s="72" t="s">
        <v>4</v>
      </c>
      <c r="E75" s="72" t="s">
        <v>6</v>
      </c>
      <c r="F75" s="73"/>
      <c r="G75" s="86">
        <f>'SE3'!O50</f>
        <v>5426.3605520833335</v>
      </c>
      <c r="I75" s="177">
        <v>5320.8843750000005</v>
      </c>
    </row>
    <row r="76" spans="2:9" x14ac:dyDescent="0.2">
      <c r="B76" s="85"/>
      <c r="C76" s="80"/>
      <c r="D76" s="80"/>
      <c r="E76" s="80" t="s">
        <v>7</v>
      </c>
      <c r="F76" s="78"/>
      <c r="G76" s="84">
        <f>'SE3'!O51</f>
        <v>7023.266852083334</v>
      </c>
      <c r="I76" s="177">
        <v>6959.3999624999997</v>
      </c>
    </row>
    <row r="77" spans="2:9" x14ac:dyDescent="0.2">
      <c r="B77" s="85"/>
      <c r="C77" s="80"/>
      <c r="D77" s="80"/>
      <c r="E77" s="80" t="s">
        <v>8</v>
      </c>
      <c r="F77" s="78"/>
      <c r="G77" s="84">
        <f>'SE3'!O52</f>
        <v>5849.1605520833336</v>
      </c>
      <c r="I77" s="177">
        <v>5660.3843750000015</v>
      </c>
    </row>
    <row r="78" spans="2:9" x14ac:dyDescent="0.2">
      <c r="B78" s="85"/>
      <c r="C78" s="80"/>
      <c r="D78" s="80"/>
      <c r="E78" s="80" t="s">
        <v>9</v>
      </c>
      <c r="F78" s="78"/>
      <c r="G78" s="84">
        <f>'SE3'!O53</f>
        <v>7446.0668520833333</v>
      </c>
      <c r="I78" s="177">
        <v>7298.8999625000015</v>
      </c>
    </row>
    <row r="79" spans="2:9" x14ac:dyDescent="0.2">
      <c r="B79" s="85"/>
      <c r="C79" s="80"/>
      <c r="D79" s="72" t="s">
        <v>5</v>
      </c>
      <c r="E79" s="72" t="s">
        <v>6</v>
      </c>
      <c r="F79" s="73"/>
      <c r="G79" s="86">
        <f>'SE3'!O54</f>
        <v>6794.8130208333332</v>
      </c>
      <c r="I79" s="177">
        <v>7075.7005208333339</v>
      </c>
    </row>
    <row r="80" spans="2:9" x14ac:dyDescent="0.2">
      <c r="B80" s="85"/>
      <c r="C80" s="80"/>
      <c r="D80" s="80"/>
      <c r="E80" s="80" t="s">
        <v>7</v>
      </c>
      <c r="F80" s="78"/>
      <c r="G80" s="84">
        <f>'SE3'!O55</f>
        <v>8391.7193208333338</v>
      </c>
      <c r="I80" s="177">
        <v>8714.216108333334</v>
      </c>
    </row>
    <row r="81" spans="2:9" x14ac:dyDescent="0.2">
      <c r="B81" s="85"/>
      <c r="C81" s="80"/>
      <c r="D81" s="80"/>
      <c r="E81" s="80" t="s">
        <v>8</v>
      </c>
      <c r="F81" s="78"/>
      <c r="G81" s="84">
        <f>'SE3'!O56</f>
        <v>7314.2130208333338</v>
      </c>
      <c r="I81" s="177">
        <v>7472.3671875</v>
      </c>
    </row>
    <row r="82" spans="2:9" x14ac:dyDescent="0.2">
      <c r="B82" s="85"/>
      <c r="C82" s="80"/>
      <c r="D82" s="80"/>
      <c r="E82" s="80" t="s">
        <v>9</v>
      </c>
      <c r="F82" s="78"/>
      <c r="G82" s="84">
        <f>'SE3'!O57</f>
        <v>8911.1193208333334</v>
      </c>
      <c r="I82" s="177">
        <v>9110.882775</v>
      </c>
    </row>
    <row r="83" spans="2:9" x14ac:dyDescent="0.2">
      <c r="B83" s="85"/>
      <c r="C83" s="74" t="s">
        <v>13</v>
      </c>
      <c r="D83" s="75" t="s">
        <v>2</v>
      </c>
      <c r="E83" s="75" t="s">
        <v>6</v>
      </c>
      <c r="F83" s="76"/>
      <c r="G83" s="87">
        <f>'SE3'!O58</f>
        <v>3619.8558333333331</v>
      </c>
      <c r="I83" s="177">
        <v>3119.3802083333335</v>
      </c>
    </row>
    <row r="84" spans="2:9" x14ac:dyDescent="0.2">
      <c r="B84" s="85"/>
      <c r="C84" s="80"/>
      <c r="D84" s="80"/>
      <c r="E84" s="80" t="s">
        <v>7</v>
      </c>
      <c r="F84" s="78"/>
      <c r="G84" s="84">
        <f>'SE3'!O59</f>
        <v>5216.7621333333336</v>
      </c>
      <c r="I84" s="177">
        <v>4757.8957958333331</v>
      </c>
    </row>
    <row r="85" spans="2:9" x14ac:dyDescent="0.2">
      <c r="B85" s="85"/>
      <c r="C85" s="80"/>
      <c r="D85" s="80"/>
      <c r="E85" s="80" t="s">
        <v>8</v>
      </c>
      <c r="F85" s="78"/>
      <c r="G85" s="84">
        <f>'SE3'!O60</f>
        <v>3895.6558333333332</v>
      </c>
      <c r="I85" s="177">
        <v>3346.8802083333335</v>
      </c>
    </row>
    <row r="86" spans="2:9" x14ac:dyDescent="0.2">
      <c r="B86" s="85"/>
      <c r="C86" s="80"/>
      <c r="D86" s="80"/>
      <c r="E86" s="80" t="s">
        <v>9</v>
      </c>
      <c r="F86" s="78"/>
      <c r="G86" s="84">
        <f>'SE3'!O61</f>
        <v>5492.5621333333329</v>
      </c>
      <c r="I86" s="177">
        <v>4985.3957958333331</v>
      </c>
    </row>
    <row r="87" spans="2:9" x14ac:dyDescent="0.2">
      <c r="B87" s="85"/>
      <c r="C87" s="80"/>
      <c r="D87" s="72" t="s">
        <v>3</v>
      </c>
      <c r="E87" s="72" t="s">
        <v>6</v>
      </c>
      <c r="F87" s="73"/>
      <c r="G87" s="86">
        <f>'SE3'!O62</f>
        <v>5197.4330000000009</v>
      </c>
      <c r="I87" s="177">
        <v>4746.40234375</v>
      </c>
    </row>
    <row r="88" spans="2:9" x14ac:dyDescent="0.2">
      <c r="B88" s="85"/>
      <c r="C88" s="80"/>
      <c r="D88" s="80"/>
      <c r="E88" s="80" t="s">
        <v>7</v>
      </c>
      <c r="F88" s="78"/>
      <c r="G88" s="84">
        <f>'SE3'!O63</f>
        <v>6794.3393000000015</v>
      </c>
      <c r="I88" s="177">
        <v>6384.91793125</v>
      </c>
    </row>
    <row r="89" spans="2:9" x14ac:dyDescent="0.2">
      <c r="B89" s="85"/>
      <c r="C89" s="80"/>
      <c r="D89" s="80"/>
      <c r="E89" s="80" t="s">
        <v>8</v>
      </c>
      <c r="F89" s="78"/>
      <c r="G89" s="84">
        <f>'SE3'!O64</f>
        <v>5568.4330000000009</v>
      </c>
      <c r="I89" s="177">
        <v>5026.40234375</v>
      </c>
    </row>
    <row r="90" spans="2:9" x14ac:dyDescent="0.2">
      <c r="B90" s="85"/>
      <c r="C90" s="80"/>
      <c r="D90" s="80"/>
      <c r="E90" s="80" t="s">
        <v>9</v>
      </c>
      <c r="F90" s="78"/>
      <c r="G90" s="84">
        <f>'SE3'!O65</f>
        <v>7165.3393000000015</v>
      </c>
      <c r="I90" s="177">
        <v>6664.91793125</v>
      </c>
    </row>
    <row r="91" spans="2:9" x14ac:dyDescent="0.2">
      <c r="B91" s="85"/>
      <c r="C91" s="80"/>
      <c r="D91" s="72" t="s">
        <v>4</v>
      </c>
      <c r="E91" s="72" t="s">
        <v>6</v>
      </c>
      <c r="F91" s="73"/>
      <c r="G91" s="86">
        <f>'SE3'!O66</f>
        <v>7215.7639166666677</v>
      </c>
      <c r="I91" s="177">
        <v>6545.7125000000005</v>
      </c>
    </row>
    <row r="92" spans="2:9" x14ac:dyDescent="0.2">
      <c r="B92" s="85"/>
      <c r="C92" s="80"/>
      <c r="D92" s="80"/>
      <c r="E92" s="80" t="s">
        <v>7</v>
      </c>
      <c r="F92" s="78"/>
      <c r="G92" s="84">
        <f>'SE3'!O67</f>
        <v>8812.6702166666673</v>
      </c>
      <c r="I92" s="177">
        <v>8184.2280874999997</v>
      </c>
    </row>
    <row r="93" spans="2:9" x14ac:dyDescent="0.2">
      <c r="B93" s="85"/>
      <c r="C93" s="80"/>
      <c r="D93" s="80"/>
      <c r="E93" s="80" t="s">
        <v>8</v>
      </c>
      <c r="F93" s="78"/>
      <c r="G93" s="84">
        <f>'SE3'!O68</f>
        <v>7679.1639166666682</v>
      </c>
      <c r="I93" s="177">
        <v>6867.7125000000005</v>
      </c>
    </row>
    <row r="94" spans="2:9" x14ac:dyDescent="0.2">
      <c r="B94" s="85"/>
      <c r="C94" s="80"/>
      <c r="D94" s="80"/>
      <c r="E94" s="80" t="s">
        <v>9</v>
      </c>
      <c r="F94" s="78"/>
      <c r="G94" s="84">
        <f>'SE3'!O69</f>
        <v>9276.0702166666688</v>
      </c>
      <c r="I94" s="177">
        <v>8506.2280874999997</v>
      </c>
    </row>
    <row r="95" spans="2:9" x14ac:dyDescent="0.2">
      <c r="B95" s="85"/>
      <c r="C95" s="80"/>
      <c r="D95" s="72" t="s">
        <v>5</v>
      </c>
      <c r="E95" s="72" t="s">
        <v>6</v>
      </c>
      <c r="F95" s="73"/>
      <c r="G95" s="86">
        <f>'SE3'!O70</f>
        <v>8233.2484375000004</v>
      </c>
      <c r="I95" s="177">
        <v>7988.1106770833339</v>
      </c>
    </row>
    <row r="96" spans="2:9" x14ac:dyDescent="0.2">
      <c r="B96" s="85"/>
      <c r="C96" s="80"/>
      <c r="D96" s="80"/>
      <c r="E96" s="80" t="s">
        <v>7</v>
      </c>
      <c r="F96" s="78"/>
      <c r="G96" s="84">
        <f>'SE3'!O71</f>
        <v>9830.1547375000009</v>
      </c>
      <c r="I96" s="177">
        <v>9626.626264583334</v>
      </c>
    </row>
    <row r="97" spans="2:9" x14ac:dyDescent="0.2">
      <c r="B97" s="85"/>
      <c r="C97" s="80"/>
      <c r="D97" s="80"/>
      <c r="E97" s="80" t="s">
        <v>8</v>
      </c>
      <c r="F97" s="78"/>
      <c r="G97" s="84">
        <f>'SE3'!O72</f>
        <v>10159.181770833335</v>
      </c>
      <c r="I97" s="177">
        <v>8943.6106770833339</v>
      </c>
    </row>
    <row r="98" spans="2:9" ht="16" thickBot="1" x14ac:dyDescent="0.25">
      <c r="B98" s="88"/>
      <c r="C98" s="89"/>
      <c r="D98" s="89"/>
      <c r="E98" s="89" t="s">
        <v>9</v>
      </c>
      <c r="F98" s="90"/>
      <c r="G98" s="91">
        <f>'SE3'!O73</f>
        <v>11756.088070833335</v>
      </c>
      <c r="I98" s="177">
        <v>10582.126264583334</v>
      </c>
    </row>
    <row r="99" spans="2:9" ht="16" thickTop="1" x14ac:dyDescent="0.2">
      <c r="B99" s="221" t="s">
        <v>157</v>
      </c>
      <c r="C99" s="222"/>
      <c r="D99" s="222"/>
      <c r="E99" s="222"/>
      <c r="F99" s="81"/>
      <c r="G99" s="82"/>
    </row>
    <row r="100" spans="2:9" x14ac:dyDescent="0.2">
      <c r="B100" s="83"/>
      <c r="C100" s="79" t="s">
        <v>1</v>
      </c>
      <c r="D100" s="80" t="s">
        <v>2</v>
      </c>
      <c r="E100" s="80" t="s">
        <v>6</v>
      </c>
      <c r="F100" s="78"/>
      <c r="G100" s="84">
        <f>'SE2'!O26</f>
        <v>1886.2360416666668</v>
      </c>
      <c r="I100" s="177">
        <v>2005.4781249999996</v>
      </c>
    </row>
    <row r="101" spans="2:9" x14ac:dyDescent="0.2">
      <c r="B101" s="85"/>
      <c r="C101" s="80"/>
      <c r="D101" s="80"/>
      <c r="E101" s="80" t="s">
        <v>7</v>
      </c>
      <c r="F101" s="78"/>
      <c r="G101" s="84">
        <f>'SE2'!O27</f>
        <v>3212.2156416666667</v>
      </c>
      <c r="I101" s="177">
        <v>3355.8331749999993</v>
      </c>
    </row>
    <row r="102" spans="2:9" x14ac:dyDescent="0.2">
      <c r="B102" s="85"/>
      <c r="C102" s="80"/>
      <c r="D102" s="80"/>
      <c r="E102" s="80" t="s">
        <v>8</v>
      </c>
      <c r="F102" s="78"/>
      <c r="G102" s="84">
        <f>'SE2'!O28</f>
        <v>2093.4360416666668</v>
      </c>
      <c r="I102" s="177">
        <v>2234.1447916666666</v>
      </c>
    </row>
    <row r="103" spans="2:9" x14ac:dyDescent="0.2">
      <c r="B103" s="85"/>
      <c r="C103" s="80"/>
      <c r="D103" s="80"/>
      <c r="E103" s="80" t="s">
        <v>9</v>
      </c>
      <c r="F103" s="78"/>
      <c r="G103" s="84">
        <f>'SE2'!O29</f>
        <v>3419.4156416666665</v>
      </c>
      <c r="I103" s="177">
        <v>3584.4998416666663</v>
      </c>
    </row>
    <row r="104" spans="2:9" x14ac:dyDescent="0.2">
      <c r="B104" s="85"/>
      <c r="C104" s="80"/>
      <c r="D104" s="72" t="s">
        <v>3</v>
      </c>
      <c r="E104" s="72" t="s">
        <v>6</v>
      </c>
      <c r="F104" s="73"/>
      <c r="G104" s="86">
        <f>'SE2'!O30</f>
        <v>2616.0924999999997</v>
      </c>
      <c r="I104" s="177">
        <v>2484.7976562499998</v>
      </c>
    </row>
    <row r="105" spans="2:9" x14ac:dyDescent="0.2">
      <c r="B105" s="85"/>
      <c r="C105" s="80"/>
      <c r="D105" s="80"/>
      <c r="E105" s="80" t="s">
        <v>7</v>
      </c>
      <c r="F105" s="78"/>
      <c r="G105" s="84">
        <f>'SE2'!O31</f>
        <v>3942.0720999999994</v>
      </c>
      <c r="I105" s="177">
        <v>3835.1527062499995</v>
      </c>
    </row>
    <row r="106" spans="2:9" x14ac:dyDescent="0.2">
      <c r="B106" s="85"/>
      <c r="C106" s="80"/>
      <c r="D106" s="80"/>
      <c r="E106" s="80" t="s">
        <v>8</v>
      </c>
      <c r="F106" s="78"/>
      <c r="G106" s="84">
        <f>'SE2'!O32</f>
        <v>2922.6925000000001</v>
      </c>
      <c r="I106" s="177">
        <v>2765.3809895833338</v>
      </c>
    </row>
    <row r="107" spans="2:9" x14ac:dyDescent="0.2">
      <c r="B107" s="85"/>
      <c r="C107" s="80"/>
      <c r="D107" s="80"/>
      <c r="E107" s="80" t="s">
        <v>9</v>
      </c>
      <c r="F107" s="78"/>
      <c r="G107" s="84">
        <f>'SE2'!O33</f>
        <v>4248.6720999999998</v>
      </c>
      <c r="I107" s="177">
        <v>4115.736039583333</v>
      </c>
    </row>
    <row r="108" spans="2:9" x14ac:dyDescent="0.2">
      <c r="B108" s="85"/>
      <c r="C108" s="80"/>
      <c r="D108" s="72" t="s">
        <v>4</v>
      </c>
      <c r="E108" s="72" t="s">
        <v>6</v>
      </c>
      <c r="F108" s="73"/>
      <c r="G108" s="86">
        <f>'SE2'!O34</f>
        <v>3477.1172916666665</v>
      </c>
      <c r="I108" s="177">
        <v>3408.2562499999999</v>
      </c>
    </row>
    <row r="109" spans="2:9" x14ac:dyDescent="0.2">
      <c r="B109" s="85"/>
      <c r="C109" s="80"/>
      <c r="D109" s="80"/>
      <c r="E109" s="80" t="s">
        <v>7</v>
      </c>
      <c r="F109" s="78"/>
      <c r="G109" s="84">
        <f>'SE2'!O35</f>
        <v>4803.0968916666661</v>
      </c>
      <c r="I109" s="177">
        <v>4758.6112999999996</v>
      </c>
    </row>
    <row r="110" spans="2:9" x14ac:dyDescent="0.2">
      <c r="B110" s="85"/>
      <c r="C110" s="80"/>
      <c r="D110" s="80"/>
      <c r="E110" s="80" t="s">
        <v>8</v>
      </c>
      <c r="F110" s="78"/>
      <c r="G110" s="84">
        <f>'SE2'!O36</f>
        <v>3835.5172916666666</v>
      </c>
      <c r="I110" s="177">
        <v>3722.0895833333334</v>
      </c>
    </row>
    <row r="111" spans="2:9" x14ac:dyDescent="0.2">
      <c r="B111" s="85"/>
      <c r="C111" s="80"/>
      <c r="D111" s="80"/>
      <c r="E111" s="80" t="s">
        <v>9</v>
      </c>
      <c r="F111" s="78"/>
      <c r="G111" s="84">
        <f>'SE2'!O37</f>
        <v>5161.4968916666658</v>
      </c>
      <c r="I111" s="177">
        <v>5072.4446333333326</v>
      </c>
    </row>
    <row r="112" spans="2:9" x14ac:dyDescent="0.2">
      <c r="B112" s="85"/>
      <c r="C112" s="80"/>
      <c r="D112" s="72" t="s">
        <v>5</v>
      </c>
      <c r="E112" s="72" t="s">
        <v>6</v>
      </c>
      <c r="F112" s="73"/>
      <c r="G112" s="86">
        <f>'SE2'!O38</f>
        <v>4882.7369791666661</v>
      </c>
      <c r="I112" s="177">
        <v>4640.64453125</v>
      </c>
    </row>
    <row r="113" spans="2:9" x14ac:dyDescent="0.2">
      <c r="B113" s="85"/>
      <c r="C113" s="80"/>
      <c r="D113" s="80"/>
      <c r="E113" s="80" t="s">
        <v>7</v>
      </c>
      <c r="F113" s="78"/>
      <c r="G113" s="84">
        <f>'SE2'!O39</f>
        <v>6208.7165791666657</v>
      </c>
      <c r="I113" s="177">
        <v>5990.9995812500001</v>
      </c>
    </row>
    <row r="114" spans="2:9" x14ac:dyDescent="0.2">
      <c r="B114" s="85"/>
      <c r="C114" s="80"/>
      <c r="D114" s="80"/>
      <c r="E114" s="80" t="s">
        <v>8</v>
      </c>
      <c r="F114" s="78"/>
      <c r="G114" s="84">
        <f>'SE2'!O40</f>
        <v>5396.5369791666672</v>
      </c>
      <c r="I114" s="177">
        <v>5019.811197916667</v>
      </c>
    </row>
    <row r="115" spans="2:9" x14ac:dyDescent="0.2">
      <c r="B115" s="85"/>
      <c r="C115" s="80"/>
      <c r="D115" s="80"/>
      <c r="E115" s="80" t="s">
        <v>9</v>
      </c>
      <c r="F115" s="78"/>
      <c r="G115" s="84">
        <f>'SE2'!O41</f>
        <v>6722.5165791666668</v>
      </c>
      <c r="I115" s="177">
        <v>6370.1662479166662</v>
      </c>
    </row>
    <row r="116" spans="2:9" x14ac:dyDescent="0.2">
      <c r="B116" s="85"/>
      <c r="C116" s="74" t="s">
        <v>12</v>
      </c>
      <c r="D116" s="75" t="s">
        <v>2</v>
      </c>
      <c r="E116" s="75" t="s">
        <v>6</v>
      </c>
      <c r="F116" s="76"/>
      <c r="G116" s="87">
        <f>'SE2'!O42</f>
        <v>2479.6552083333336</v>
      </c>
      <c r="I116" s="177">
        <v>2296.1476562500002</v>
      </c>
    </row>
    <row r="117" spans="2:9" x14ac:dyDescent="0.2">
      <c r="B117" s="85"/>
      <c r="C117" s="80"/>
      <c r="D117" s="80"/>
      <c r="E117" s="80" t="s">
        <v>7</v>
      </c>
      <c r="F117" s="78"/>
      <c r="G117" s="84">
        <f>'SE2'!O43</f>
        <v>3805.6348083333332</v>
      </c>
      <c r="I117" s="177">
        <v>3646.5027062499998</v>
      </c>
    </row>
    <row r="118" spans="2:9" x14ac:dyDescent="0.2">
      <c r="B118" s="85"/>
      <c r="C118" s="80"/>
      <c r="D118" s="80"/>
      <c r="E118" s="80" t="s">
        <v>8</v>
      </c>
      <c r="F118" s="78"/>
      <c r="G118" s="84">
        <f>'SE2'!O44</f>
        <v>2734.4552083333338</v>
      </c>
      <c r="I118" s="177">
        <v>2531.8143229166667</v>
      </c>
    </row>
    <row r="119" spans="2:9" x14ac:dyDescent="0.2">
      <c r="B119" s="85"/>
      <c r="C119" s="80"/>
      <c r="D119" s="80"/>
      <c r="E119" s="80" t="s">
        <v>9</v>
      </c>
      <c r="F119" s="78"/>
      <c r="G119" s="84">
        <f>'SE2'!O45</f>
        <v>4060.4348083333334</v>
      </c>
      <c r="I119" s="177">
        <v>3882.1693729166664</v>
      </c>
    </row>
    <row r="120" spans="2:9" x14ac:dyDescent="0.2">
      <c r="B120" s="85"/>
      <c r="C120" s="80"/>
      <c r="D120" s="72" t="s">
        <v>3</v>
      </c>
      <c r="E120" s="72" t="s">
        <v>6</v>
      </c>
      <c r="F120" s="73"/>
      <c r="G120" s="86">
        <f>'SE2'!O46</f>
        <v>3181.5116666666663</v>
      </c>
      <c r="I120" s="177">
        <v>2935.501953125</v>
      </c>
    </row>
    <row r="121" spans="2:9" x14ac:dyDescent="0.2">
      <c r="B121" s="85"/>
      <c r="C121" s="80"/>
      <c r="D121" s="80"/>
      <c r="E121" s="80" t="s">
        <v>7</v>
      </c>
      <c r="F121" s="78"/>
      <c r="G121" s="84">
        <f>'SE2'!O47</f>
        <v>4507.491266666666</v>
      </c>
      <c r="I121" s="177">
        <v>4285.8570031250001</v>
      </c>
    </row>
    <row r="122" spans="2:9" x14ac:dyDescent="0.2">
      <c r="B122" s="85"/>
      <c r="C122" s="80"/>
      <c r="D122" s="80"/>
      <c r="E122" s="80" t="s">
        <v>8</v>
      </c>
      <c r="F122" s="78"/>
      <c r="G122" s="84">
        <f>'SE2'!O48</f>
        <v>3527.3116666666665</v>
      </c>
      <c r="I122" s="177">
        <v>3230.0852864583335</v>
      </c>
    </row>
    <row r="123" spans="2:9" x14ac:dyDescent="0.2">
      <c r="B123" s="85"/>
      <c r="C123" s="80"/>
      <c r="D123" s="80"/>
      <c r="E123" s="80" t="s">
        <v>9</v>
      </c>
      <c r="F123" s="78"/>
      <c r="G123" s="84">
        <f>'SE2'!O49</f>
        <v>4853.2912666666662</v>
      </c>
      <c r="I123" s="177">
        <v>4580.4403364583331</v>
      </c>
    </row>
    <row r="124" spans="2:9" x14ac:dyDescent="0.2">
      <c r="B124" s="85"/>
      <c r="C124" s="80"/>
      <c r="D124" s="72" t="s">
        <v>4</v>
      </c>
      <c r="E124" s="72" t="s">
        <v>6</v>
      </c>
      <c r="F124" s="73"/>
      <c r="G124" s="86">
        <f>'SE2'!O50</f>
        <v>4642.8050520833331</v>
      </c>
      <c r="I124" s="177">
        <v>4561.1343750000005</v>
      </c>
    </row>
    <row r="125" spans="2:9" x14ac:dyDescent="0.2">
      <c r="B125" s="85"/>
      <c r="C125" s="80"/>
      <c r="D125" s="80"/>
      <c r="E125" s="80" t="s">
        <v>7</v>
      </c>
      <c r="F125" s="78"/>
      <c r="G125" s="84">
        <f>'SE2'!O51</f>
        <v>5968.7846520833327</v>
      </c>
      <c r="I125" s="177">
        <v>5911.4894249999998</v>
      </c>
    </row>
    <row r="126" spans="2:9" x14ac:dyDescent="0.2">
      <c r="B126" s="85"/>
      <c r="C126" s="80"/>
      <c r="D126" s="80"/>
      <c r="E126" s="80" t="s">
        <v>8</v>
      </c>
      <c r="F126" s="78"/>
      <c r="G126" s="84">
        <f>'SE2'!O52</f>
        <v>5065.6050520833332</v>
      </c>
      <c r="I126" s="177">
        <v>4900.6343750000005</v>
      </c>
    </row>
    <row r="127" spans="2:9" x14ac:dyDescent="0.2">
      <c r="B127" s="85"/>
      <c r="C127" s="80"/>
      <c r="D127" s="80"/>
      <c r="E127" s="80" t="s">
        <v>9</v>
      </c>
      <c r="F127" s="78"/>
      <c r="G127" s="84">
        <f>'SE2'!O53</f>
        <v>6391.5846520833329</v>
      </c>
      <c r="I127" s="177">
        <v>6250.9894249999998</v>
      </c>
    </row>
    <row r="128" spans="2:9" x14ac:dyDescent="0.2">
      <c r="B128" s="85"/>
      <c r="C128" s="80"/>
      <c r="D128" s="72" t="s">
        <v>5</v>
      </c>
      <c r="E128" s="72" t="s">
        <v>6</v>
      </c>
      <c r="F128" s="73"/>
      <c r="G128" s="86">
        <f>'SE2'!O54</f>
        <v>5807.138020833333</v>
      </c>
      <c r="I128" s="177">
        <v>6020.4921875</v>
      </c>
    </row>
    <row r="129" spans="2:9" x14ac:dyDescent="0.2">
      <c r="B129" s="85"/>
      <c r="C129" s="80"/>
      <c r="D129" s="80"/>
      <c r="E129" s="80" t="s">
        <v>7</v>
      </c>
      <c r="F129" s="78"/>
      <c r="G129" s="84">
        <f>'SE2'!O55</f>
        <v>7133.1176208333327</v>
      </c>
      <c r="I129" s="177">
        <v>7370.8472375000001</v>
      </c>
    </row>
    <row r="130" spans="2:9" x14ac:dyDescent="0.2">
      <c r="B130" s="85"/>
      <c r="C130" s="80"/>
      <c r="D130" s="80"/>
      <c r="E130" s="80" t="s">
        <v>8</v>
      </c>
      <c r="F130" s="78"/>
      <c r="G130" s="84">
        <f>'SE2'!O56</f>
        <v>6326.5380208333336</v>
      </c>
      <c r="I130" s="177">
        <v>6417.1588541666661</v>
      </c>
    </row>
    <row r="131" spans="2:9" x14ac:dyDescent="0.2">
      <c r="B131" s="85"/>
      <c r="C131" s="80"/>
      <c r="D131" s="80"/>
      <c r="E131" s="80" t="s">
        <v>9</v>
      </c>
      <c r="F131" s="78"/>
      <c r="G131" s="84">
        <f>'SE2'!O57</f>
        <v>7652.5176208333332</v>
      </c>
      <c r="I131" s="177">
        <v>7767.5139041666662</v>
      </c>
    </row>
    <row r="132" spans="2:9" x14ac:dyDescent="0.2">
      <c r="B132" s="85"/>
      <c r="C132" s="74" t="s">
        <v>13</v>
      </c>
      <c r="D132" s="75" t="s">
        <v>2</v>
      </c>
      <c r="E132" s="75" t="s">
        <v>6</v>
      </c>
      <c r="F132" s="76"/>
      <c r="G132" s="87">
        <f>'SE2'!O58</f>
        <v>3093.0958333333338</v>
      </c>
      <c r="I132" s="177">
        <v>2697.296875</v>
      </c>
    </row>
    <row r="133" spans="2:9" x14ac:dyDescent="0.2">
      <c r="B133" s="85"/>
      <c r="C133" s="80"/>
      <c r="D133" s="80"/>
      <c r="E133" s="80" t="s">
        <v>7</v>
      </c>
      <c r="F133" s="78"/>
      <c r="G133" s="84">
        <f>'SE2'!O59</f>
        <v>4419.0754333333334</v>
      </c>
      <c r="I133" s="177">
        <v>4047.6519249999997</v>
      </c>
    </row>
    <row r="134" spans="2:9" x14ac:dyDescent="0.2">
      <c r="B134" s="85"/>
      <c r="C134" s="80"/>
      <c r="D134" s="80"/>
      <c r="E134" s="80" t="s">
        <v>8</v>
      </c>
      <c r="F134" s="78"/>
      <c r="G134" s="84">
        <f>'SE2'!O60</f>
        <v>3368.8958333333339</v>
      </c>
      <c r="I134" s="177">
        <v>2924.796875</v>
      </c>
    </row>
    <row r="135" spans="2:9" x14ac:dyDescent="0.2">
      <c r="B135" s="85"/>
      <c r="C135" s="80"/>
      <c r="D135" s="80"/>
      <c r="E135" s="80" t="s">
        <v>9</v>
      </c>
      <c r="F135" s="78"/>
      <c r="G135" s="84">
        <f>'SE2'!O61</f>
        <v>4694.8754333333336</v>
      </c>
      <c r="I135" s="177">
        <v>4275.1519250000001</v>
      </c>
    </row>
    <row r="136" spans="2:9" x14ac:dyDescent="0.2">
      <c r="B136" s="85"/>
      <c r="C136" s="80"/>
      <c r="D136" s="72" t="s">
        <v>3</v>
      </c>
      <c r="E136" s="72" t="s">
        <v>6</v>
      </c>
      <c r="F136" s="73"/>
      <c r="G136" s="86">
        <f>'SE2'!O62</f>
        <v>4424.8516666666674</v>
      </c>
      <c r="I136" s="177">
        <v>4049.96484375</v>
      </c>
    </row>
    <row r="137" spans="2:9" x14ac:dyDescent="0.2">
      <c r="B137" s="85"/>
      <c r="C137" s="80"/>
      <c r="D137" s="80"/>
      <c r="E137" s="80" t="s">
        <v>7</v>
      </c>
      <c r="F137" s="78"/>
      <c r="G137" s="84">
        <f>'SE2'!O63</f>
        <v>5750.831266666667</v>
      </c>
      <c r="I137" s="177">
        <v>5400.3198937500001</v>
      </c>
    </row>
    <row r="138" spans="2:9" x14ac:dyDescent="0.2">
      <c r="B138" s="85"/>
      <c r="C138" s="80"/>
      <c r="D138" s="80"/>
      <c r="E138" s="80" t="s">
        <v>8</v>
      </c>
      <c r="F138" s="78"/>
      <c r="G138" s="84">
        <f>'SE2'!O64</f>
        <v>4795.8516666666674</v>
      </c>
      <c r="I138" s="177">
        <v>4329.96484375</v>
      </c>
    </row>
    <row r="139" spans="2:9" x14ac:dyDescent="0.2">
      <c r="B139" s="85"/>
      <c r="C139" s="80"/>
      <c r="D139" s="80"/>
      <c r="E139" s="80" t="s">
        <v>9</v>
      </c>
      <c r="F139" s="78"/>
      <c r="G139" s="84">
        <f>'SE2'!O65</f>
        <v>6121.831266666667</v>
      </c>
      <c r="I139" s="177">
        <v>5680.3198937500001</v>
      </c>
    </row>
    <row r="140" spans="2:9" x14ac:dyDescent="0.2">
      <c r="B140" s="85"/>
      <c r="C140" s="80"/>
      <c r="D140" s="72" t="s">
        <v>4</v>
      </c>
      <c r="E140" s="72" t="s">
        <v>6</v>
      </c>
      <c r="F140" s="73"/>
      <c r="G140" s="86">
        <f>'SE2'!O66</f>
        <v>6109.5679166666669</v>
      </c>
      <c r="I140" s="177">
        <v>5532.7125000000005</v>
      </c>
    </row>
    <row r="141" spans="2:9" x14ac:dyDescent="0.2">
      <c r="B141" s="85"/>
      <c r="C141" s="80"/>
      <c r="D141" s="80"/>
      <c r="E141" s="80" t="s">
        <v>7</v>
      </c>
      <c r="F141" s="78"/>
      <c r="G141" s="84">
        <f>'SE2'!O67</f>
        <v>7435.5475166666665</v>
      </c>
      <c r="I141" s="177">
        <v>6883.0675499999998</v>
      </c>
    </row>
    <row r="142" spans="2:9" x14ac:dyDescent="0.2">
      <c r="B142" s="85"/>
      <c r="C142" s="80"/>
      <c r="D142" s="80"/>
      <c r="E142" s="80" t="s">
        <v>8</v>
      </c>
      <c r="F142" s="78"/>
      <c r="G142" s="84">
        <f>'SE2'!O68</f>
        <v>6572.9679166666674</v>
      </c>
      <c r="I142" s="177">
        <v>5854.7125000000005</v>
      </c>
    </row>
    <row r="143" spans="2:9" x14ac:dyDescent="0.2">
      <c r="B143" s="85"/>
      <c r="C143" s="80"/>
      <c r="D143" s="80"/>
      <c r="E143" s="80" t="s">
        <v>9</v>
      </c>
      <c r="F143" s="78"/>
      <c r="G143" s="84">
        <f>'SE2'!O69</f>
        <v>7898.9475166666671</v>
      </c>
      <c r="I143" s="177">
        <v>7205.0675499999998</v>
      </c>
    </row>
    <row r="144" spans="2:9" x14ac:dyDescent="0.2">
      <c r="B144" s="85"/>
      <c r="C144" s="80"/>
      <c r="D144" s="72" t="s">
        <v>5</v>
      </c>
      <c r="E144" s="72" t="s">
        <v>6</v>
      </c>
      <c r="F144" s="73"/>
      <c r="G144" s="86">
        <f>'SE2'!O70</f>
        <v>6806.606770833333</v>
      </c>
      <c r="I144" s="177">
        <v>6616.33984375</v>
      </c>
    </row>
    <row r="145" spans="2:9" x14ac:dyDescent="0.2">
      <c r="B145" s="85"/>
      <c r="C145" s="80"/>
      <c r="D145" s="80"/>
      <c r="E145" s="80" t="s">
        <v>7</v>
      </c>
      <c r="F145" s="78"/>
      <c r="G145" s="84">
        <f>'SE2'!O71</f>
        <v>8132.5863708333327</v>
      </c>
      <c r="I145" s="177">
        <v>7966.6948937500001</v>
      </c>
    </row>
    <row r="146" spans="2:9" x14ac:dyDescent="0.2">
      <c r="B146" s="85"/>
      <c r="C146" s="80"/>
      <c r="D146" s="80"/>
      <c r="E146" s="80" t="s">
        <v>8</v>
      </c>
      <c r="F146" s="78"/>
      <c r="G146" s="84">
        <f>'SE2'!O72</f>
        <v>8732.5401041666664</v>
      </c>
      <c r="I146" s="177">
        <v>7571.83984375</v>
      </c>
    </row>
    <row r="147" spans="2:9" ht="16" thickBot="1" x14ac:dyDescent="0.25">
      <c r="B147" s="88"/>
      <c r="C147" s="89"/>
      <c r="D147" s="89"/>
      <c r="E147" s="89" t="s">
        <v>9</v>
      </c>
      <c r="F147" s="90"/>
      <c r="G147" s="91">
        <f>'SE2'!O73</f>
        <v>10058.519704166665</v>
      </c>
      <c r="I147" s="177">
        <v>8922.1948937500001</v>
      </c>
    </row>
    <row r="148" spans="2:9" ht="16" thickTop="1" x14ac:dyDescent="0.2">
      <c r="B148" s="221" t="s">
        <v>158</v>
      </c>
      <c r="C148" s="222"/>
      <c r="D148" s="222"/>
      <c r="E148" s="222"/>
      <c r="F148" s="81"/>
      <c r="G148" s="82"/>
    </row>
    <row r="149" spans="2:9" x14ac:dyDescent="0.2">
      <c r="B149" s="83"/>
      <c r="C149" s="79" t="s">
        <v>1</v>
      </c>
      <c r="D149" s="80" t="s">
        <v>2</v>
      </c>
      <c r="E149" s="80" t="s">
        <v>6</v>
      </c>
      <c r="F149" s="78"/>
      <c r="G149" s="84">
        <f>'SE1'!O26</f>
        <v>1886.1109166666668</v>
      </c>
      <c r="I149" s="177">
        <v>2005.3687499999996</v>
      </c>
    </row>
    <row r="150" spans="2:9" x14ac:dyDescent="0.2">
      <c r="B150" s="85"/>
      <c r="C150" s="80"/>
      <c r="D150" s="80"/>
      <c r="E150" s="80" t="s">
        <v>7</v>
      </c>
      <c r="F150" s="78"/>
      <c r="G150" s="84">
        <f>'SE1'!O27</f>
        <v>3133.9685166666668</v>
      </c>
      <c r="I150" s="177">
        <v>3276.1525500000002</v>
      </c>
    </row>
    <row r="151" spans="2:9" x14ac:dyDescent="0.2">
      <c r="B151" s="85"/>
      <c r="C151" s="80"/>
      <c r="D151" s="80"/>
      <c r="E151" s="80" t="s">
        <v>8</v>
      </c>
      <c r="F151" s="78"/>
      <c r="G151" s="84">
        <f>'SE1'!O28</f>
        <v>2093.3109166666668</v>
      </c>
      <c r="I151" s="177">
        <v>2234.0354166666666</v>
      </c>
    </row>
    <row r="152" spans="2:9" x14ac:dyDescent="0.2">
      <c r="B152" s="85"/>
      <c r="C152" s="80"/>
      <c r="D152" s="80"/>
      <c r="E152" s="80" t="s">
        <v>9</v>
      </c>
      <c r="F152" s="78"/>
      <c r="G152" s="84">
        <f>'SE1'!O29</f>
        <v>3341.1685166666671</v>
      </c>
      <c r="I152" s="177">
        <v>3504.8192166666672</v>
      </c>
    </row>
    <row r="153" spans="2:9" x14ac:dyDescent="0.2">
      <c r="B153" s="85"/>
      <c r="C153" s="80"/>
      <c r="D153" s="72" t="s">
        <v>3</v>
      </c>
      <c r="E153" s="72" t="s">
        <v>6</v>
      </c>
      <c r="F153" s="73"/>
      <c r="G153" s="86">
        <f>'SE1'!O30</f>
        <v>2615.925666666667</v>
      </c>
      <c r="I153" s="177">
        <v>2484.6609375000003</v>
      </c>
    </row>
    <row r="154" spans="2:9" x14ac:dyDescent="0.2">
      <c r="B154" s="85"/>
      <c r="C154" s="80"/>
      <c r="D154" s="80"/>
      <c r="E154" s="80" t="s">
        <v>7</v>
      </c>
      <c r="F154" s="78"/>
      <c r="G154" s="84">
        <f>'SE1'!O31</f>
        <v>3863.7832666666673</v>
      </c>
      <c r="I154" s="177">
        <v>3755.4447375000009</v>
      </c>
    </row>
    <row r="155" spans="2:9" x14ac:dyDescent="0.2">
      <c r="B155" s="85"/>
      <c r="C155" s="80"/>
      <c r="D155" s="80"/>
      <c r="E155" s="80" t="s">
        <v>8</v>
      </c>
      <c r="F155" s="78"/>
      <c r="G155" s="84">
        <f>'SE1'!O32</f>
        <v>2922.5256666666669</v>
      </c>
      <c r="I155" s="177">
        <v>2765.2442708333338</v>
      </c>
    </row>
    <row r="156" spans="2:9" x14ac:dyDescent="0.2">
      <c r="B156" s="85"/>
      <c r="C156" s="80"/>
      <c r="D156" s="80"/>
      <c r="E156" s="80" t="s">
        <v>9</v>
      </c>
      <c r="F156" s="78"/>
      <c r="G156" s="84">
        <f>'SE1'!O33</f>
        <v>4170.3832666666676</v>
      </c>
      <c r="I156" s="177">
        <v>4036.0280708333344</v>
      </c>
    </row>
    <row r="157" spans="2:9" x14ac:dyDescent="0.2">
      <c r="B157" s="85"/>
      <c r="C157" s="80"/>
      <c r="D157" s="72" t="s">
        <v>4</v>
      </c>
      <c r="E157" s="72" t="s">
        <v>6</v>
      </c>
      <c r="F157" s="73"/>
      <c r="G157" s="86">
        <f>'SE1'!O34</f>
        <v>3476.8784166666669</v>
      </c>
      <c r="I157" s="177">
        <v>3408.0374999999999</v>
      </c>
    </row>
    <row r="158" spans="2:9" x14ac:dyDescent="0.2">
      <c r="B158" s="85"/>
      <c r="C158" s="80"/>
      <c r="D158" s="80"/>
      <c r="E158" s="80" t="s">
        <v>7</v>
      </c>
      <c r="F158" s="78"/>
      <c r="G158" s="84">
        <f>'SE1'!O35</f>
        <v>4724.7360166666676</v>
      </c>
      <c r="I158" s="177">
        <v>4678.8213000000005</v>
      </c>
    </row>
    <row r="159" spans="2:9" x14ac:dyDescent="0.2">
      <c r="B159" s="85"/>
      <c r="C159" s="80"/>
      <c r="D159" s="80"/>
      <c r="E159" s="80" t="s">
        <v>8</v>
      </c>
      <c r="F159" s="78"/>
      <c r="G159" s="84">
        <f>'SE1'!O36</f>
        <v>3835.278416666667</v>
      </c>
      <c r="I159" s="177">
        <v>3721.8708333333334</v>
      </c>
    </row>
    <row r="160" spans="2:9" x14ac:dyDescent="0.2">
      <c r="B160" s="85"/>
      <c r="C160" s="80"/>
      <c r="D160" s="80"/>
      <c r="E160" s="80" t="s">
        <v>9</v>
      </c>
      <c r="F160" s="78"/>
      <c r="G160" s="84">
        <f>'SE1'!O37</f>
        <v>5083.1360166666673</v>
      </c>
      <c r="I160" s="177">
        <v>4992.6546333333335</v>
      </c>
    </row>
    <row r="161" spans="2:9" x14ac:dyDescent="0.2">
      <c r="B161" s="85"/>
      <c r="C161" s="80"/>
      <c r="D161" s="72" t="s">
        <v>5</v>
      </c>
      <c r="E161" s="72" t="s">
        <v>6</v>
      </c>
      <c r="F161" s="73"/>
      <c r="G161" s="86">
        <f>'SE1'!O38</f>
        <v>4882.4052083333336</v>
      </c>
      <c r="I161" s="177">
        <v>4640.3255208333339</v>
      </c>
    </row>
    <row r="162" spans="2:9" x14ac:dyDescent="0.2">
      <c r="B162" s="85"/>
      <c r="C162" s="80"/>
      <c r="D162" s="80"/>
      <c r="E162" s="80" t="s">
        <v>7</v>
      </c>
      <c r="F162" s="78"/>
      <c r="G162" s="84">
        <f>'SE1'!O39</f>
        <v>6130.2628083333339</v>
      </c>
      <c r="I162" s="177">
        <v>5911.109320833335</v>
      </c>
    </row>
    <row r="163" spans="2:9" x14ac:dyDescent="0.2">
      <c r="B163" s="85"/>
      <c r="C163" s="80"/>
      <c r="D163" s="80"/>
      <c r="E163" s="80" t="s">
        <v>8</v>
      </c>
      <c r="F163" s="78"/>
      <c r="G163" s="84">
        <f>'SE1'!O40</f>
        <v>5396.2052083333338</v>
      </c>
      <c r="I163" s="177">
        <v>5019.4921875</v>
      </c>
    </row>
    <row r="164" spans="2:9" x14ac:dyDescent="0.2">
      <c r="B164" s="85"/>
      <c r="C164" s="80"/>
      <c r="D164" s="80"/>
      <c r="E164" s="80" t="s">
        <v>9</v>
      </c>
      <c r="F164" s="78"/>
      <c r="G164" s="84">
        <f>'SE1'!O41</f>
        <v>6644.062808333334</v>
      </c>
      <c r="I164" s="177">
        <v>6290.2759875000011</v>
      </c>
    </row>
    <row r="165" spans="2:9" x14ac:dyDescent="0.2">
      <c r="B165" s="85"/>
      <c r="C165" s="74" t="s">
        <v>12</v>
      </c>
      <c r="D165" s="75" t="s">
        <v>2</v>
      </c>
      <c r="E165" s="75" t="s">
        <v>6</v>
      </c>
      <c r="F165" s="76"/>
      <c r="G165" s="87">
        <f>'SE1'!O42</f>
        <v>2479.4845833333338</v>
      </c>
      <c r="I165" s="177">
        <v>2296.0109375000002</v>
      </c>
    </row>
    <row r="166" spans="2:9" x14ac:dyDescent="0.2">
      <c r="B166" s="85"/>
      <c r="C166" s="80"/>
      <c r="D166" s="80"/>
      <c r="E166" s="80" t="s">
        <v>7</v>
      </c>
      <c r="F166" s="78"/>
      <c r="G166" s="84">
        <f>'SE1'!O43</f>
        <v>3727.3421833333341</v>
      </c>
      <c r="I166" s="177">
        <v>3566.7947375000008</v>
      </c>
    </row>
    <row r="167" spans="2:9" x14ac:dyDescent="0.2">
      <c r="B167" s="85"/>
      <c r="C167" s="80"/>
      <c r="D167" s="80"/>
      <c r="E167" s="80" t="s">
        <v>8</v>
      </c>
      <c r="F167" s="78"/>
      <c r="G167" s="84">
        <f>'SE1'!O44</f>
        <v>2734.284583333334</v>
      </c>
      <c r="I167" s="177">
        <v>2531.6776041666672</v>
      </c>
    </row>
    <row r="168" spans="2:9" x14ac:dyDescent="0.2">
      <c r="B168" s="85"/>
      <c r="C168" s="80"/>
      <c r="D168" s="80"/>
      <c r="E168" s="80" t="s">
        <v>9</v>
      </c>
      <c r="F168" s="78"/>
      <c r="G168" s="84">
        <f>'SE1'!O45</f>
        <v>3982.1421833333343</v>
      </c>
      <c r="I168" s="177">
        <v>3802.4614041666678</v>
      </c>
    </row>
    <row r="169" spans="2:9" x14ac:dyDescent="0.2">
      <c r="B169" s="85"/>
      <c r="C169" s="80"/>
      <c r="D169" s="72" t="s">
        <v>3</v>
      </c>
      <c r="E169" s="72" t="s">
        <v>6</v>
      </c>
      <c r="F169" s="73"/>
      <c r="G169" s="86">
        <f>'SE1'!O46</f>
        <v>3181.2993333333334</v>
      </c>
      <c r="I169" s="177">
        <v>2935.32421875</v>
      </c>
    </row>
    <row r="170" spans="2:9" x14ac:dyDescent="0.2">
      <c r="B170" s="85"/>
      <c r="C170" s="80"/>
      <c r="D170" s="80"/>
      <c r="E170" s="80" t="s">
        <v>7</v>
      </c>
      <c r="F170" s="78"/>
      <c r="G170" s="84">
        <f>'SE1'!O47</f>
        <v>4429.1569333333337</v>
      </c>
      <c r="I170" s="177">
        <v>4206.1080187500011</v>
      </c>
    </row>
    <row r="171" spans="2:9" x14ac:dyDescent="0.2">
      <c r="B171" s="85"/>
      <c r="C171" s="80"/>
      <c r="D171" s="80"/>
      <c r="E171" s="80" t="s">
        <v>8</v>
      </c>
      <c r="F171" s="78"/>
      <c r="G171" s="84">
        <f>'SE1'!O48</f>
        <v>3527.0993333333336</v>
      </c>
      <c r="I171" s="177">
        <v>3229.9075520833339</v>
      </c>
    </row>
    <row r="172" spans="2:9" x14ac:dyDescent="0.2">
      <c r="B172" s="85"/>
      <c r="C172" s="80"/>
      <c r="D172" s="80"/>
      <c r="E172" s="80" t="s">
        <v>9</v>
      </c>
      <c r="F172" s="78"/>
      <c r="G172" s="84">
        <f>'SE1'!O49</f>
        <v>4774.9569333333338</v>
      </c>
      <c r="I172" s="177">
        <v>4500.691352083335</v>
      </c>
    </row>
    <row r="173" spans="2:9" x14ac:dyDescent="0.2">
      <c r="B173" s="85"/>
      <c r="C173" s="80"/>
      <c r="D173" s="72" t="s">
        <v>4</v>
      </c>
      <c r="E173" s="72" t="s">
        <v>6</v>
      </c>
      <c r="F173" s="73"/>
      <c r="G173" s="86">
        <f>'SE1'!O50</f>
        <v>4642.466645833334</v>
      </c>
      <c r="I173" s="177">
        <v>4560.8062500000005</v>
      </c>
    </row>
    <row r="174" spans="2:9" x14ac:dyDescent="0.2">
      <c r="B174" s="85"/>
      <c r="C174" s="80"/>
      <c r="D174" s="80"/>
      <c r="E174" s="80" t="s">
        <v>7</v>
      </c>
      <c r="F174" s="78"/>
      <c r="G174" s="84">
        <f>'SE1'!O51</f>
        <v>5890.3242458333343</v>
      </c>
      <c r="I174" s="177">
        <v>5831.5900500000007</v>
      </c>
    </row>
    <row r="175" spans="2:9" x14ac:dyDescent="0.2">
      <c r="B175" s="85"/>
      <c r="C175" s="80"/>
      <c r="D175" s="80"/>
      <c r="E175" s="80" t="s">
        <v>8</v>
      </c>
      <c r="F175" s="78"/>
      <c r="G175" s="84">
        <f>'SE1'!O52</f>
        <v>5065.2666458333342</v>
      </c>
      <c r="I175" s="177">
        <v>4900.3062500000015</v>
      </c>
    </row>
    <row r="176" spans="2:9" x14ac:dyDescent="0.2">
      <c r="B176" s="85"/>
      <c r="C176" s="80"/>
      <c r="D176" s="80"/>
      <c r="E176" s="80" t="s">
        <v>9</v>
      </c>
      <c r="F176" s="78"/>
      <c r="G176" s="84">
        <f>'SE1'!O53</f>
        <v>6313.1242458333345</v>
      </c>
      <c r="I176" s="177">
        <v>6171.0900500000025</v>
      </c>
    </row>
    <row r="177" spans="2:9" x14ac:dyDescent="0.2">
      <c r="B177" s="85"/>
      <c r="C177" s="80"/>
      <c r="D177" s="72" t="s">
        <v>5</v>
      </c>
      <c r="E177" s="72" t="s">
        <v>6</v>
      </c>
      <c r="F177" s="73"/>
      <c r="G177" s="86">
        <f>'SE1'!O54</f>
        <v>5806.7114583333341</v>
      </c>
      <c r="I177" s="177">
        <v>6020.0364583333339</v>
      </c>
    </row>
    <row r="178" spans="2:9" x14ac:dyDescent="0.2">
      <c r="B178" s="85"/>
      <c r="C178" s="80"/>
      <c r="D178" s="80"/>
      <c r="E178" s="80" t="s">
        <v>7</v>
      </c>
      <c r="F178" s="78"/>
      <c r="G178" s="84">
        <f>'SE1'!O55</f>
        <v>7054.5690583333344</v>
      </c>
      <c r="I178" s="177">
        <v>7290.820258333335</v>
      </c>
    </row>
    <row r="179" spans="2:9" x14ac:dyDescent="0.2">
      <c r="B179" s="85"/>
      <c r="C179" s="80"/>
      <c r="D179" s="80"/>
      <c r="E179" s="80" t="s">
        <v>8</v>
      </c>
      <c r="F179" s="78"/>
      <c r="G179" s="84">
        <f>'SE1'!O56</f>
        <v>6326.1114583333347</v>
      </c>
      <c r="I179" s="177">
        <v>6416.703125</v>
      </c>
    </row>
    <row r="180" spans="2:9" x14ac:dyDescent="0.2">
      <c r="B180" s="85"/>
      <c r="C180" s="80"/>
      <c r="D180" s="80"/>
      <c r="E180" s="80" t="s">
        <v>9</v>
      </c>
      <c r="F180" s="78"/>
      <c r="G180" s="84">
        <f>'SE1'!O57</f>
        <v>7573.9690583333349</v>
      </c>
      <c r="I180" s="177">
        <v>7687.4869250000011</v>
      </c>
    </row>
    <row r="181" spans="2:9" x14ac:dyDescent="0.2">
      <c r="B181" s="85"/>
      <c r="C181" s="74" t="s">
        <v>13</v>
      </c>
      <c r="D181" s="75" t="s">
        <v>2</v>
      </c>
      <c r="E181" s="75" t="s">
        <v>6</v>
      </c>
      <c r="F181" s="76"/>
      <c r="G181" s="87">
        <f>'SE1'!O58</f>
        <v>3092.8683333333329</v>
      </c>
      <c r="I181" s="177">
        <v>2697.1145833333335</v>
      </c>
    </row>
    <row r="182" spans="2:9" x14ac:dyDescent="0.2">
      <c r="B182" s="85"/>
      <c r="C182" s="80"/>
      <c r="D182" s="80"/>
      <c r="E182" s="80" t="s">
        <v>7</v>
      </c>
      <c r="F182" s="78"/>
      <c r="G182" s="84">
        <f>'SE1'!O59</f>
        <v>4340.7259333333332</v>
      </c>
      <c r="I182" s="177">
        <v>3967.8983833333341</v>
      </c>
    </row>
    <row r="183" spans="2:9" x14ac:dyDescent="0.2">
      <c r="B183" s="85"/>
      <c r="C183" s="80"/>
      <c r="D183" s="80"/>
      <c r="E183" s="80" t="s">
        <v>8</v>
      </c>
      <c r="F183" s="78"/>
      <c r="G183" s="84">
        <f>'SE1'!O60</f>
        <v>3368.6683333333331</v>
      </c>
      <c r="I183" s="177">
        <v>2924.6145833333335</v>
      </c>
    </row>
    <row r="184" spans="2:9" x14ac:dyDescent="0.2">
      <c r="B184" s="85"/>
      <c r="C184" s="80"/>
      <c r="D184" s="80"/>
      <c r="E184" s="80" t="s">
        <v>9</v>
      </c>
      <c r="F184" s="78"/>
      <c r="G184" s="84">
        <f>'SE1'!O61</f>
        <v>4616.5259333333333</v>
      </c>
      <c r="I184" s="177">
        <v>4195.3983833333341</v>
      </c>
    </row>
    <row r="185" spans="2:9" x14ac:dyDescent="0.2">
      <c r="B185" s="85"/>
      <c r="C185" s="80"/>
      <c r="D185" s="72" t="s">
        <v>3</v>
      </c>
      <c r="E185" s="72" t="s">
        <v>6</v>
      </c>
      <c r="F185" s="73"/>
      <c r="G185" s="86">
        <f>'SE1'!O62</f>
        <v>4424.518</v>
      </c>
      <c r="I185" s="177">
        <v>4049.6640625000005</v>
      </c>
    </row>
    <row r="186" spans="2:9" x14ac:dyDescent="0.2">
      <c r="B186" s="85"/>
      <c r="C186" s="80"/>
      <c r="D186" s="80"/>
      <c r="E186" s="80" t="s">
        <v>7</v>
      </c>
      <c r="F186" s="78"/>
      <c r="G186" s="84">
        <f>'SE1'!O63</f>
        <v>5672.3756000000003</v>
      </c>
      <c r="I186" s="177">
        <v>5320.4478625000011</v>
      </c>
    </row>
    <row r="187" spans="2:9" x14ac:dyDescent="0.2">
      <c r="B187" s="85"/>
      <c r="C187" s="80"/>
      <c r="D187" s="80"/>
      <c r="E187" s="80" t="s">
        <v>8</v>
      </c>
      <c r="F187" s="78"/>
      <c r="G187" s="84">
        <f>'SE1'!O64</f>
        <v>4795.5180000000009</v>
      </c>
      <c r="I187" s="177">
        <v>4329.6640625</v>
      </c>
    </row>
    <row r="188" spans="2:9" x14ac:dyDescent="0.2">
      <c r="B188" s="85"/>
      <c r="C188" s="80"/>
      <c r="D188" s="80"/>
      <c r="E188" s="80" t="s">
        <v>9</v>
      </c>
      <c r="F188" s="78"/>
      <c r="G188" s="84">
        <f>'SE1'!O65</f>
        <v>6043.3756000000012</v>
      </c>
      <c r="I188" s="177">
        <v>5600.4478625000011</v>
      </c>
    </row>
    <row r="189" spans="2:9" x14ac:dyDescent="0.2">
      <c r="B189" s="85"/>
      <c r="C189" s="80"/>
      <c r="D189" s="72" t="s">
        <v>4</v>
      </c>
      <c r="E189" s="72" t="s">
        <v>6</v>
      </c>
      <c r="F189" s="73"/>
      <c r="G189" s="86">
        <f>'SE1'!O66</f>
        <v>6109.0901666666678</v>
      </c>
      <c r="I189" s="177">
        <v>5532.2750000000005</v>
      </c>
    </row>
    <row r="190" spans="2:9" x14ac:dyDescent="0.2">
      <c r="B190" s="85"/>
      <c r="C190" s="80"/>
      <c r="D190" s="80"/>
      <c r="E190" s="80" t="s">
        <v>7</v>
      </c>
      <c r="F190" s="78"/>
      <c r="G190" s="84">
        <f>'SE1'!O67</f>
        <v>7356.947766666668</v>
      </c>
      <c r="I190" s="177">
        <v>6803.0588000000007</v>
      </c>
    </row>
    <row r="191" spans="2:9" x14ac:dyDescent="0.2">
      <c r="B191" s="85"/>
      <c r="C191" s="80"/>
      <c r="D191" s="80"/>
      <c r="E191" s="80" t="s">
        <v>8</v>
      </c>
      <c r="F191" s="78"/>
      <c r="G191" s="84">
        <f>'SE1'!O68</f>
        <v>6572.4901666666683</v>
      </c>
      <c r="I191" s="177">
        <v>5854.2750000000005</v>
      </c>
    </row>
    <row r="192" spans="2:9" x14ac:dyDescent="0.2">
      <c r="B192" s="85"/>
      <c r="C192" s="80"/>
      <c r="D192" s="80"/>
      <c r="E192" s="80" t="s">
        <v>9</v>
      </c>
      <c r="F192" s="78"/>
      <c r="G192" s="84">
        <f>'SE1'!O69</f>
        <v>7820.3477666666686</v>
      </c>
      <c r="I192" s="177">
        <v>7125.0588000000007</v>
      </c>
    </row>
    <row r="193" spans="2:9" x14ac:dyDescent="0.2">
      <c r="B193" s="85"/>
      <c r="C193" s="80"/>
      <c r="D193" s="72" t="s">
        <v>5</v>
      </c>
      <c r="E193" s="72" t="s">
        <v>6</v>
      </c>
      <c r="F193" s="73"/>
      <c r="G193" s="86">
        <f>'SE1'!O70</f>
        <v>6805.9906250000004</v>
      </c>
      <c r="I193" s="177">
        <v>6615.7473958333339</v>
      </c>
    </row>
    <row r="194" spans="2:9" x14ac:dyDescent="0.2">
      <c r="B194" s="85"/>
      <c r="C194" s="80"/>
      <c r="D194" s="80"/>
      <c r="E194" s="80" t="s">
        <v>7</v>
      </c>
      <c r="F194" s="78"/>
      <c r="G194" s="84">
        <f>'SE1'!O71</f>
        <v>8053.8482250000006</v>
      </c>
      <c r="I194" s="177">
        <v>7886.531195833335</v>
      </c>
    </row>
    <row r="195" spans="2:9" x14ac:dyDescent="0.2">
      <c r="B195" s="85"/>
      <c r="C195" s="80"/>
      <c r="D195" s="80"/>
      <c r="E195" s="80" t="s">
        <v>8</v>
      </c>
      <c r="F195" s="78"/>
      <c r="G195" s="84">
        <f>'SE1'!O72</f>
        <v>8731.9239583333347</v>
      </c>
      <c r="I195" s="177">
        <v>7571.2473958333339</v>
      </c>
    </row>
    <row r="196" spans="2:9" ht="16" thickBot="1" x14ac:dyDescent="0.25">
      <c r="B196" s="88"/>
      <c r="C196" s="89"/>
      <c r="D196" s="89"/>
      <c r="E196" s="89" t="s">
        <v>9</v>
      </c>
      <c r="F196" s="90"/>
      <c r="G196" s="91">
        <f>'SE1'!O73</f>
        <v>9979.7815583333359</v>
      </c>
      <c r="I196" s="177">
        <v>8842.031195833335</v>
      </c>
    </row>
    <row r="197" spans="2:9" ht="16" thickTop="1" x14ac:dyDescent="0.2"/>
  </sheetData>
  <mergeCells count="14">
    <mergeCell ref="B1:E1"/>
    <mergeCell ref="B50:E50"/>
    <mergeCell ref="O1:P1"/>
    <mergeCell ref="Q1:R1"/>
    <mergeCell ref="O17:P18"/>
    <mergeCell ref="Q17:R18"/>
    <mergeCell ref="B99:E99"/>
    <mergeCell ref="B148:E148"/>
    <mergeCell ref="AA19:AD19"/>
    <mergeCell ref="AE19:AH19"/>
    <mergeCell ref="AI19:AL19"/>
    <mergeCell ref="N30:O30"/>
    <mergeCell ref="U19:V19"/>
    <mergeCell ref="W19:X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FC58-7A3D-4211-82A3-B95F55418B6B}">
  <dimension ref="B1:AL74"/>
  <sheetViews>
    <sheetView topLeftCell="A7" zoomScale="120" zoomScaleNormal="120" workbookViewId="0">
      <selection activeCell="I34" sqref="I34"/>
    </sheetView>
  </sheetViews>
  <sheetFormatPr baseColWidth="10" defaultColWidth="9.1640625" defaultRowHeight="14" x14ac:dyDescent="0.2"/>
  <cols>
    <col min="1" max="1" width="12.5" style="13" customWidth="1"/>
    <col min="2" max="3" width="9.1640625" style="13"/>
    <col min="4" max="4" width="37.5" style="13" customWidth="1"/>
    <col min="5" max="5" width="12.1640625" style="2" customWidth="1"/>
    <col min="6" max="6" width="11" style="2" customWidth="1"/>
    <col min="7" max="7" width="10.6640625" style="2" customWidth="1"/>
    <col min="8" max="9" width="12.83203125" style="2" customWidth="1"/>
    <col min="10" max="10" width="3.1640625" style="2" customWidth="1"/>
    <col min="11" max="14" width="14.6640625" style="2" customWidth="1"/>
    <col min="15" max="15" width="3.1640625" style="2" customWidth="1"/>
    <col min="16" max="17" width="15.6640625" style="13" customWidth="1"/>
    <col min="18" max="18" width="4.33203125" style="2" customWidth="1"/>
    <col min="19" max="19" width="15.6640625" style="13" customWidth="1"/>
    <col min="20" max="23" width="16.6640625" style="13" customWidth="1"/>
    <col min="24" max="24" width="4.5" style="2" customWidth="1"/>
    <col min="25" max="25" width="19.1640625" style="2" customWidth="1"/>
    <col min="26" max="26" width="8.6640625" style="2" customWidth="1"/>
    <col min="27" max="27" width="8.6640625" style="13" customWidth="1"/>
    <col min="28" max="30" width="8.6640625" style="2" customWidth="1"/>
    <col min="31" max="31" width="8.6640625" style="13" customWidth="1"/>
    <col min="32" max="34" width="8.6640625" style="2" customWidth="1"/>
    <col min="35" max="37" width="8.6640625" style="13" customWidth="1"/>
    <col min="38" max="16384" width="9.1640625" style="13"/>
  </cols>
  <sheetData>
    <row r="1" spans="2:20" ht="42.75" customHeight="1" x14ac:dyDescent="0.2">
      <c r="B1" s="170" t="s">
        <v>10</v>
      </c>
      <c r="C1" s="171" t="s">
        <v>11</v>
      </c>
      <c r="D1" s="171" t="s">
        <v>153</v>
      </c>
      <c r="E1" s="171" t="s">
        <v>25</v>
      </c>
      <c r="F1" s="171" t="s">
        <v>23</v>
      </c>
      <c r="G1" s="171" t="s">
        <v>24</v>
      </c>
      <c r="H1" s="172" t="s">
        <v>154</v>
      </c>
      <c r="I1" s="215" t="s">
        <v>189</v>
      </c>
      <c r="J1" s="53"/>
      <c r="K1" s="232" t="s">
        <v>56</v>
      </c>
      <c r="L1" s="233"/>
      <c r="M1" s="234" t="s">
        <v>70</v>
      </c>
      <c r="N1" s="235"/>
      <c r="P1" s="250" t="s">
        <v>61</v>
      </c>
      <c r="Q1" s="251"/>
    </row>
    <row r="2" spans="2:20" ht="15" x14ac:dyDescent="0.2">
      <c r="B2" s="22"/>
      <c r="C2" s="15"/>
      <c r="D2" s="15"/>
      <c r="E2" s="15"/>
      <c r="F2" s="15"/>
      <c r="G2" s="15"/>
      <c r="H2" s="23"/>
      <c r="I2" s="214">
        <v>6500</v>
      </c>
      <c r="J2" s="53"/>
      <c r="K2" s="147" t="s">
        <v>152</v>
      </c>
      <c r="L2" s="62">
        <v>0.26</v>
      </c>
      <c r="M2" s="102" t="s">
        <v>152</v>
      </c>
      <c r="N2" s="103">
        <v>0.25</v>
      </c>
      <c r="P2" s="148" t="s">
        <v>60</v>
      </c>
      <c r="Q2" s="149" t="s">
        <v>59</v>
      </c>
    </row>
    <row r="3" spans="2:20" ht="16" x14ac:dyDescent="0.2">
      <c r="B3" s="22"/>
      <c r="C3" s="15"/>
      <c r="D3" s="15"/>
      <c r="E3" s="15"/>
      <c r="F3" s="15"/>
      <c r="G3" s="15"/>
      <c r="H3" s="23"/>
      <c r="I3" s="53"/>
      <c r="J3" s="53"/>
      <c r="K3" s="189" t="s">
        <v>183</v>
      </c>
      <c r="L3" s="190" t="s">
        <v>184</v>
      </c>
      <c r="M3" s="191" t="s">
        <v>183</v>
      </c>
      <c r="N3" s="192" t="s">
        <v>184</v>
      </c>
      <c r="P3" s="24"/>
      <c r="Q3" s="48"/>
      <c r="S3" s="252" t="s">
        <v>68</v>
      </c>
      <c r="T3" s="253"/>
    </row>
    <row r="4" spans="2:20" ht="15" x14ac:dyDescent="0.2">
      <c r="B4" s="24" t="s">
        <v>21</v>
      </c>
      <c r="C4" s="13" t="s">
        <v>17</v>
      </c>
      <c r="D4" s="13" t="s">
        <v>63</v>
      </c>
      <c r="E4" s="68">
        <v>120</v>
      </c>
      <c r="F4" s="2">
        <v>1990</v>
      </c>
      <c r="G4" s="68">
        <v>55</v>
      </c>
      <c r="H4" s="25">
        <f>E4*G4</f>
        <v>6600</v>
      </c>
      <c r="I4" s="2">
        <f>H4+I$2</f>
        <v>13100</v>
      </c>
      <c r="K4" s="26">
        <f t="shared" ref="K4:K15" si="0">H4/100*U$33</f>
        <v>6974.4125000000004</v>
      </c>
      <c r="L4" s="27">
        <f t="shared" ref="L4:L15" si="1">H4/100*U$33*L$2</f>
        <v>1813.3472500000003</v>
      </c>
      <c r="M4" s="95">
        <f t="shared" ref="M4:M15" si="2">H4/100*W$33</f>
        <v>5527.7750000000005</v>
      </c>
      <c r="N4" s="104">
        <f t="shared" ref="N4:N15" si="3">H4/100*W$33*N$2</f>
        <v>1381.9437500000001</v>
      </c>
      <c r="P4" s="49">
        <f>$Z33*$Z$35*12*((60-$Z$36)/60)</f>
        <v>986.66666666666674</v>
      </c>
      <c r="Q4" s="50">
        <f>$Z33*$Z$35*12*((60-$Z$37)/60)</f>
        <v>1282.666666666667</v>
      </c>
      <c r="S4" s="254" t="s">
        <v>171</v>
      </c>
      <c r="T4" s="255"/>
    </row>
    <row r="5" spans="2:20" ht="15" x14ac:dyDescent="0.2">
      <c r="B5" s="24"/>
      <c r="C5" s="13" t="s">
        <v>18</v>
      </c>
      <c r="D5" s="13" t="s">
        <v>64</v>
      </c>
      <c r="E5" s="68">
        <v>160</v>
      </c>
      <c r="F5" s="2">
        <v>2010</v>
      </c>
      <c r="G5" s="68">
        <v>55</v>
      </c>
      <c r="H5" s="25">
        <f t="shared" ref="H5:H15" si="4">E5*G5</f>
        <v>8800</v>
      </c>
      <c r="I5" s="2">
        <f t="shared" ref="I5:I15" si="5">H5+I$2</f>
        <v>15300</v>
      </c>
      <c r="K5" s="26">
        <f t="shared" si="0"/>
        <v>9299.2166666666672</v>
      </c>
      <c r="L5" s="27">
        <f t="shared" si="1"/>
        <v>2417.7963333333337</v>
      </c>
      <c r="M5" s="95">
        <f t="shared" si="2"/>
        <v>7370.3666666666677</v>
      </c>
      <c r="N5" s="104">
        <f t="shared" si="3"/>
        <v>1842.5916666666669</v>
      </c>
      <c r="P5" s="49">
        <f>AA33*Z$35*12*((60-Z$36)/60)</f>
        <v>1460</v>
      </c>
      <c r="Q5" s="50">
        <f>$AA33*$Z$35*12*((60-$Z$37)/60)</f>
        <v>1898</v>
      </c>
      <c r="S5" s="260" t="s">
        <v>172</v>
      </c>
      <c r="T5" s="261"/>
    </row>
    <row r="6" spans="2:20" ht="15" x14ac:dyDescent="0.2">
      <c r="B6" s="24"/>
      <c r="C6" s="13" t="s">
        <v>19</v>
      </c>
      <c r="D6" s="13" t="s">
        <v>65</v>
      </c>
      <c r="E6" s="68">
        <v>210</v>
      </c>
      <c r="F6" s="2">
        <v>1960</v>
      </c>
      <c r="G6" s="68">
        <v>60</v>
      </c>
      <c r="H6" s="25">
        <f t="shared" si="4"/>
        <v>12600</v>
      </c>
      <c r="I6" s="2">
        <f t="shared" si="5"/>
        <v>19100</v>
      </c>
      <c r="K6" s="26">
        <f t="shared" si="0"/>
        <v>13314.7875</v>
      </c>
      <c r="L6" s="27">
        <f t="shared" si="1"/>
        <v>3461.8447500000002</v>
      </c>
      <c r="M6" s="95">
        <f t="shared" si="2"/>
        <v>10553.025000000001</v>
      </c>
      <c r="N6" s="104">
        <f t="shared" si="3"/>
        <v>2638.2562500000004</v>
      </c>
      <c r="P6" s="49">
        <f>AB33*Z$35*12*((60-Z$36)/60)</f>
        <v>1706.6666666666665</v>
      </c>
      <c r="Q6" s="50">
        <f>$AB33*$Z$35*12*((60-$Z$37)/60)</f>
        <v>2218.666666666667</v>
      </c>
      <c r="S6" s="262" t="s">
        <v>170</v>
      </c>
      <c r="T6" s="263"/>
    </row>
    <row r="7" spans="2:20" ht="15" x14ac:dyDescent="0.2">
      <c r="B7" s="24"/>
      <c r="C7" s="13" t="s">
        <v>20</v>
      </c>
      <c r="D7" s="13" t="s">
        <v>66</v>
      </c>
      <c r="E7" s="68">
        <v>250</v>
      </c>
      <c r="F7" s="2">
        <v>1970</v>
      </c>
      <c r="G7" s="68">
        <v>70</v>
      </c>
      <c r="H7" s="25">
        <f t="shared" si="4"/>
        <v>17500</v>
      </c>
      <c r="I7" s="2">
        <f t="shared" si="5"/>
        <v>24000</v>
      </c>
      <c r="K7" s="26">
        <f t="shared" si="0"/>
        <v>18492.760416666668</v>
      </c>
      <c r="L7" s="27">
        <f t="shared" si="1"/>
        <v>4808.1177083333341</v>
      </c>
      <c r="M7" s="95">
        <f t="shared" si="2"/>
        <v>14656.979166666668</v>
      </c>
      <c r="N7" s="104">
        <f t="shared" si="3"/>
        <v>3664.244791666667</v>
      </c>
      <c r="P7" s="49">
        <f>AC33*Z$35*12*((60-Z$36)/60)</f>
        <v>2446.666666666667</v>
      </c>
      <c r="Q7" s="50">
        <f>$AC33*$Z$35*12*((60-$Z$37)/60)</f>
        <v>3180.666666666667</v>
      </c>
      <c r="S7" s="264" t="s">
        <v>169</v>
      </c>
      <c r="T7" s="265"/>
    </row>
    <row r="8" spans="2:20" ht="15" x14ac:dyDescent="0.2">
      <c r="B8" s="54" t="s">
        <v>12</v>
      </c>
      <c r="C8" s="55" t="s">
        <v>17</v>
      </c>
      <c r="D8" s="55"/>
      <c r="E8" s="69">
        <v>120</v>
      </c>
      <c r="F8" s="56"/>
      <c r="G8" s="69">
        <v>75</v>
      </c>
      <c r="H8" s="57">
        <f t="shared" si="4"/>
        <v>9000</v>
      </c>
      <c r="I8" s="2">
        <f t="shared" si="5"/>
        <v>15500</v>
      </c>
      <c r="J8" s="56"/>
      <c r="K8" s="58">
        <f t="shared" si="0"/>
        <v>9510.5625</v>
      </c>
      <c r="L8" s="59">
        <f t="shared" si="1"/>
        <v>2472.7462500000001</v>
      </c>
      <c r="M8" s="105">
        <f t="shared" si="2"/>
        <v>7537.8750000000009</v>
      </c>
      <c r="N8" s="106">
        <f t="shared" si="3"/>
        <v>1884.4687500000002</v>
      </c>
      <c r="O8" s="56"/>
      <c r="P8" s="60">
        <f>$AD33*$Z$35*12*((60-$Z$36)/60)</f>
        <v>1213.3333333333333</v>
      </c>
      <c r="Q8" s="61">
        <f>$AD33*$Z$35*12*((60-$Z$37)/60)</f>
        <v>1577.3333333333335</v>
      </c>
      <c r="S8" s="266" t="s">
        <v>168</v>
      </c>
      <c r="T8" s="267"/>
    </row>
    <row r="9" spans="2:20" x14ac:dyDescent="0.2">
      <c r="B9" s="24"/>
      <c r="C9" s="13" t="s">
        <v>18</v>
      </c>
      <c r="E9" s="68">
        <v>160</v>
      </c>
      <c r="G9" s="68">
        <v>70</v>
      </c>
      <c r="H9" s="25">
        <f t="shared" si="4"/>
        <v>11200</v>
      </c>
      <c r="I9" s="2">
        <f t="shared" si="5"/>
        <v>17700</v>
      </c>
      <c r="K9" s="26">
        <f t="shared" si="0"/>
        <v>11835.366666666667</v>
      </c>
      <c r="L9" s="27">
        <f t="shared" si="1"/>
        <v>3077.1953333333336</v>
      </c>
      <c r="M9" s="95">
        <f t="shared" si="2"/>
        <v>9380.4666666666672</v>
      </c>
      <c r="N9" s="104">
        <f t="shared" si="3"/>
        <v>2345.1166666666668</v>
      </c>
      <c r="P9" s="49">
        <f>$AE33*$Z$35*12*((60-$Z$36)/60)</f>
        <v>1646.6666666666665</v>
      </c>
      <c r="Q9" s="50">
        <f>$AE33*$Z$35*12*((60-$Z$37)/60)</f>
        <v>2140.6666666666665</v>
      </c>
    </row>
    <row r="10" spans="2:20" x14ac:dyDescent="0.2">
      <c r="B10" s="24"/>
      <c r="C10" s="13" t="s">
        <v>19</v>
      </c>
      <c r="E10" s="68">
        <v>210</v>
      </c>
      <c r="G10" s="68">
        <v>85</v>
      </c>
      <c r="H10" s="25">
        <f t="shared" si="4"/>
        <v>17850</v>
      </c>
      <c r="I10" s="2">
        <f t="shared" si="5"/>
        <v>24350</v>
      </c>
      <c r="K10" s="26">
        <f t="shared" si="0"/>
        <v>18862.615624999999</v>
      </c>
      <c r="L10" s="27">
        <f t="shared" si="1"/>
        <v>4904.2800625</v>
      </c>
      <c r="M10" s="95">
        <f t="shared" si="2"/>
        <v>14950.118750000001</v>
      </c>
      <c r="N10" s="104">
        <f t="shared" si="3"/>
        <v>3737.5296875000004</v>
      </c>
      <c r="P10" s="49">
        <f>$AF33*$Z$35*12*((60-$Z$36)/60)</f>
        <v>2013.3333333333335</v>
      </c>
      <c r="Q10" s="50">
        <f>$AF33*$Z$35*12*((60-$Z$37)/60)</f>
        <v>2617.3333333333339</v>
      </c>
    </row>
    <row r="11" spans="2:20" x14ac:dyDescent="0.2">
      <c r="B11" s="24"/>
      <c r="C11" s="13" t="s">
        <v>20</v>
      </c>
      <c r="E11" s="68">
        <v>250</v>
      </c>
      <c r="G11" s="68">
        <v>90</v>
      </c>
      <c r="H11" s="25">
        <f t="shared" si="4"/>
        <v>22500</v>
      </c>
      <c r="I11" s="2">
        <f t="shared" si="5"/>
        <v>29000</v>
      </c>
      <c r="K11" s="26">
        <f t="shared" si="0"/>
        <v>23776.40625</v>
      </c>
      <c r="L11" s="27">
        <f t="shared" si="1"/>
        <v>6181.8656250000004</v>
      </c>
      <c r="M11" s="95">
        <f t="shared" si="2"/>
        <v>18844.687500000004</v>
      </c>
      <c r="N11" s="104">
        <f t="shared" si="3"/>
        <v>4711.1718750000009</v>
      </c>
      <c r="P11" s="49">
        <f>$AG33*$Z$35*12*((60-$Z$36)/60)</f>
        <v>2473.333333333333</v>
      </c>
      <c r="Q11" s="50">
        <f>$AG33*$Z$35*12*((60-$Z$37)/60)</f>
        <v>3215.3333333333335</v>
      </c>
    </row>
    <row r="12" spans="2:20" x14ac:dyDescent="0.2">
      <c r="B12" s="54" t="s">
        <v>13</v>
      </c>
      <c r="C12" s="55" t="s">
        <v>17</v>
      </c>
      <c r="D12" s="55"/>
      <c r="E12" s="69">
        <v>120</v>
      </c>
      <c r="F12" s="56"/>
      <c r="G12" s="69">
        <v>100</v>
      </c>
      <c r="H12" s="57">
        <f t="shared" si="4"/>
        <v>12000</v>
      </c>
      <c r="I12" s="2">
        <f t="shared" si="5"/>
        <v>18500</v>
      </c>
      <c r="J12" s="56"/>
      <c r="K12" s="58">
        <f t="shared" si="0"/>
        <v>12680.75</v>
      </c>
      <c r="L12" s="59">
        <f t="shared" si="1"/>
        <v>3296.9949999999999</v>
      </c>
      <c r="M12" s="105">
        <f t="shared" si="2"/>
        <v>10050.500000000002</v>
      </c>
      <c r="N12" s="106">
        <f t="shared" si="3"/>
        <v>2512.6250000000005</v>
      </c>
      <c r="O12" s="56"/>
      <c r="P12" s="60">
        <f>$AH33*$Z$35*12*((60-$Z$36)/60)</f>
        <v>1313.3333333333333</v>
      </c>
      <c r="Q12" s="61">
        <f>$AH33*$Z$35*12*((60-$Z$37)/60)</f>
        <v>1707.3333333333335</v>
      </c>
    </row>
    <row r="13" spans="2:20" x14ac:dyDescent="0.2">
      <c r="B13" s="24"/>
      <c r="C13" s="13" t="s">
        <v>18</v>
      </c>
      <c r="E13" s="68">
        <v>160</v>
      </c>
      <c r="G13" s="68">
        <v>110</v>
      </c>
      <c r="H13" s="25">
        <f t="shared" si="4"/>
        <v>17600</v>
      </c>
      <c r="I13" s="2">
        <f t="shared" si="5"/>
        <v>24100</v>
      </c>
      <c r="K13" s="26">
        <f t="shared" si="0"/>
        <v>18598.433333333334</v>
      </c>
      <c r="L13" s="27">
        <f t="shared" si="1"/>
        <v>4835.5926666666674</v>
      </c>
      <c r="M13" s="95">
        <f t="shared" si="2"/>
        <v>14740.733333333335</v>
      </c>
      <c r="N13" s="104">
        <f t="shared" si="3"/>
        <v>3685.1833333333338</v>
      </c>
      <c r="P13" s="49">
        <f>$AI33*$Z$35*12*((60-$Z$36)/60)</f>
        <v>1766.6666666666672</v>
      </c>
      <c r="Q13" s="50">
        <f>$AI33*$Z$35*12*((60-$Z$37)/60)</f>
        <v>2296.6666666666674</v>
      </c>
    </row>
    <row r="14" spans="2:20" x14ac:dyDescent="0.2">
      <c r="B14" s="24"/>
      <c r="C14" s="13" t="s">
        <v>19</v>
      </c>
      <c r="E14" s="68">
        <v>210</v>
      </c>
      <c r="G14" s="68">
        <v>120</v>
      </c>
      <c r="H14" s="25">
        <f t="shared" si="4"/>
        <v>25200</v>
      </c>
      <c r="I14" s="2">
        <f t="shared" si="5"/>
        <v>31700</v>
      </c>
      <c r="K14" s="26">
        <f t="shared" si="0"/>
        <v>26629.575000000001</v>
      </c>
      <c r="L14" s="27">
        <f t="shared" si="1"/>
        <v>6923.6895000000004</v>
      </c>
      <c r="M14" s="95">
        <f t="shared" si="2"/>
        <v>21106.050000000003</v>
      </c>
      <c r="N14" s="104">
        <f t="shared" si="3"/>
        <v>5276.5125000000007</v>
      </c>
      <c r="P14" s="49">
        <f>$AJ33*$Z$35*12*((60-$Z$36)/60)</f>
        <v>2206.666666666667</v>
      </c>
      <c r="Q14" s="50">
        <f>$AJ33*$Z$35*12*((60-$Z$37)/60)</f>
        <v>2868.6666666666674</v>
      </c>
    </row>
    <row r="15" spans="2:20" x14ac:dyDescent="0.2">
      <c r="B15" s="28"/>
      <c r="C15" s="29" t="s">
        <v>20</v>
      </c>
      <c r="D15" s="29"/>
      <c r="E15" s="70">
        <v>250</v>
      </c>
      <c r="F15" s="21"/>
      <c r="G15" s="70">
        <v>130</v>
      </c>
      <c r="H15" s="30">
        <f t="shared" si="4"/>
        <v>32500</v>
      </c>
      <c r="I15" s="2">
        <f t="shared" si="5"/>
        <v>39000</v>
      </c>
      <c r="K15" s="31">
        <f t="shared" si="0"/>
        <v>34343.697916666664</v>
      </c>
      <c r="L15" s="32">
        <f t="shared" si="1"/>
        <v>8929.3614583333328</v>
      </c>
      <c r="M15" s="100">
        <f t="shared" si="2"/>
        <v>27220.104166666672</v>
      </c>
      <c r="N15" s="107">
        <f t="shared" si="3"/>
        <v>6805.0260416666679</v>
      </c>
      <c r="P15" s="51">
        <f>$AH33*$Z$35*12*((60-$Z$36)/60)</f>
        <v>1313.3333333333333</v>
      </c>
      <c r="Q15" s="52">
        <f>$AK33*$Z$35*12*((60-$Z$37)/60)</f>
        <v>4064.666666666667</v>
      </c>
    </row>
    <row r="16" spans="2:20" x14ac:dyDescent="0.2">
      <c r="K16" s="26"/>
      <c r="L16" s="27"/>
      <c r="M16" s="95"/>
      <c r="N16" s="108"/>
    </row>
    <row r="17" spans="2:37" x14ac:dyDescent="0.2">
      <c r="B17" s="34"/>
      <c r="C17" s="35"/>
      <c r="D17" s="35"/>
      <c r="E17" s="20"/>
      <c r="F17" s="20"/>
      <c r="G17" s="20"/>
      <c r="H17" s="36"/>
      <c r="K17" s="236" t="s">
        <v>185</v>
      </c>
      <c r="L17" s="237"/>
      <c r="M17" s="234" t="s">
        <v>71</v>
      </c>
      <c r="N17" s="235"/>
    </row>
    <row r="18" spans="2:37" x14ac:dyDescent="0.2">
      <c r="B18" s="24"/>
      <c r="H18" s="25"/>
      <c r="K18" s="238"/>
      <c r="L18" s="239"/>
      <c r="M18" s="240"/>
      <c r="N18" s="241"/>
      <c r="P18" s="2"/>
      <c r="R18" s="13"/>
      <c r="S18" s="2"/>
      <c r="X18" s="13"/>
      <c r="AA18" s="2"/>
      <c r="AB18" s="13"/>
      <c r="AE18" s="2"/>
      <c r="AF18" s="13"/>
      <c r="AI18" s="2"/>
    </row>
    <row r="19" spans="2:37" x14ac:dyDescent="0.2">
      <c r="B19" s="37"/>
      <c r="H19" s="25"/>
      <c r="K19" s="63">
        <v>0.3</v>
      </c>
      <c r="L19" s="64">
        <v>0.46</v>
      </c>
      <c r="M19" s="109">
        <v>0.3</v>
      </c>
      <c r="N19" s="110">
        <v>0.48</v>
      </c>
      <c r="O19" s="38"/>
      <c r="P19" s="38"/>
      <c r="Q19" s="38"/>
      <c r="S19" s="151" t="s">
        <v>167</v>
      </c>
      <c r="T19" s="256">
        <v>2023</v>
      </c>
      <c r="U19" s="257"/>
      <c r="V19" s="258">
        <v>2024</v>
      </c>
      <c r="W19" s="259"/>
      <c r="Y19" s="161" t="s">
        <v>166</v>
      </c>
      <c r="Z19" s="247" t="s">
        <v>51</v>
      </c>
      <c r="AA19" s="248"/>
      <c r="AB19" s="248"/>
      <c r="AC19" s="249"/>
      <c r="AD19" s="247" t="s">
        <v>52</v>
      </c>
      <c r="AE19" s="248"/>
      <c r="AF19" s="248"/>
      <c r="AG19" s="249"/>
      <c r="AH19" s="247" t="s">
        <v>53</v>
      </c>
      <c r="AI19" s="248"/>
      <c r="AJ19" s="248"/>
      <c r="AK19" s="249"/>
    </row>
    <row r="20" spans="2:37" x14ac:dyDescent="0.2">
      <c r="B20" s="37" t="s">
        <v>26</v>
      </c>
      <c r="C20" s="13" t="s">
        <v>0</v>
      </c>
      <c r="D20" s="13" t="s">
        <v>27</v>
      </c>
      <c r="E20" s="68">
        <v>25</v>
      </c>
      <c r="G20" s="68">
        <v>400</v>
      </c>
      <c r="H20" s="25">
        <f>E20*G20</f>
        <v>10000</v>
      </c>
      <c r="K20" s="26">
        <f>H20*K$19*((U$35+U$37)*U$36)/100</f>
        <v>3693.8137499999998</v>
      </c>
      <c r="L20" s="40">
        <f>(H20*L$19*((U$35+U$37)*U$36)/100)-(H20*K$19*((U$35+U$37)*U$36)/100)</f>
        <v>1970.0339999999992</v>
      </c>
      <c r="M20" s="95">
        <f>H20*M$19*((W$35+W$37)*W$36)/100</f>
        <v>3313.9012499999994</v>
      </c>
      <c r="N20" s="96">
        <f>(H20*N$19*((W$35+W$37)*W$36)/100)-(H20*M$19*((W$35+W$37)*W$36)/100)</f>
        <v>1988.3407499999998</v>
      </c>
      <c r="O20" s="39"/>
      <c r="P20" s="39"/>
      <c r="Q20" s="39"/>
      <c r="S20" s="152"/>
      <c r="T20" s="153" t="s">
        <v>48</v>
      </c>
      <c r="U20" s="154" t="s">
        <v>49</v>
      </c>
      <c r="V20" s="111" t="s">
        <v>42</v>
      </c>
      <c r="W20" s="112" t="s">
        <v>41</v>
      </c>
      <c r="Y20" s="162"/>
      <c r="Z20" s="148" t="s">
        <v>17</v>
      </c>
      <c r="AA20" s="194" t="s">
        <v>18</v>
      </c>
      <c r="AB20" s="194" t="s">
        <v>19</v>
      </c>
      <c r="AC20" s="149" t="s">
        <v>20</v>
      </c>
      <c r="AD20" s="148" t="s">
        <v>17</v>
      </c>
      <c r="AE20" s="194" t="s">
        <v>18</v>
      </c>
      <c r="AF20" s="194" t="s">
        <v>19</v>
      </c>
      <c r="AG20" s="149" t="s">
        <v>20</v>
      </c>
      <c r="AH20" s="148" t="s">
        <v>17</v>
      </c>
      <c r="AI20" s="194" t="s">
        <v>18</v>
      </c>
      <c r="AJ20" s="194" t="s">
        <v>19</v>
      </c>
      <c r="AK20" s="149" t="s">
        <v>20</v>
      </c>
    </row>
    <row r="21" spans="2:37" x14ac:dyDescent="0.2">
      <c r="B21" s="24"/>
      <c r="C21" s="92" t="s">
        <v>14</v>
      </c>
      <c r="D21" s="92" t="s">
        <v>27</v>
      </c>
      <c r="E21" s="93">
        <v>25</v>
      </c>
      <c r="F21" s="93"/>
      <c r="G21" s="93">
        <v>380</v>
      </c>
      <c r="H21" s="94">
        <f t="shared" ref="H21:H23" si="6">E21*G21</f>
        <v>9500</v>
      </c>
      <c r="I21" s="93"/>
      <c r="J21" s="93"/>
      <c r="K21" s="95">
        <f>H21*K$19*((U$35+U$37)*U$36)/100</f>
        <v>3509.1230624999998</v>
      </c>
      <c r="L21" s="96">
        <f>(H21*L$19*((U$35+U$37)*U$36)/100)-(H21*K$19*((U$35+U$37)*U$36)/100)</f>
        <v>1871.5322999999999</v>
      </c>
      <c r="M21" s="95">
        <f>H21*M$19*((W$35+W$37)*W$36)/100</f>
        <v>3148.2061874999995</v>
      </c>
      <c r="N21" s="96">
        <f>(H21*N$19*((W$35+W$37)*W$36)/100)-(H21*M$19*((W$35+W$37)*W$36)/100)</f>
        <v>1888.9237124999995</v>
      </c>
      <c r="O21" s="39"/>
      <c r="P21" s="39"/>
      <c r="Q21" s="39"/>
      <c r="S21" s="11" t="s">
        <v>29</v>
      </c>
      <c r="T21" s="65">
        <v>104.43</v>
      </c>
      <c r="U21" s="16">
        <f t="shared" ref="U21:U32" si="7">(T21+10)*1.25</f>
        <v>143.03750000000002</v>
      </c>
      <c r="V21" s="113">
        <v>84.02</v>
      </c>
      <c r="W21" s="114">
        <f t="shared" ref="W21:W32" si="8">(V21+10)*1.25</f>
        <v>117.52499999999999</v>
      </c>
      <c r="X21" s="41"/>
      <c r="Y21" s="11" t="s">
        <v>29</v>
      </c>
      <c r="Z21" s="4">
        <v>1.7</v>
      </c>
      <c r="AA21" s="5">
        <v>2.4</v>
      </c>
      <c r="AB21" s="5">
        <v>3</v>
      </c>
      <c r="AC21" s="6">
        <v>4.2</v>
      </c>
      <c r="AD21" s="4">
        <v>2.2999999999999998</v>
      </c>
      <c r="AE21" s="5">
        <v>3</v>
      </c>
      <c r="AF21" s="5">
        <v>3.7</v>
      </c>
      <c r="AG21" s="6">
        <v>4.8</v>
      </c>
      <c r="AH21" s="4">
        <v>3</v>
      </c>
      <c r="AI21" s="5">
        <v>4</v>
      </c>
      <c r="AJ21" s="5">
        <v>5.5</v>
      </c>
      <c r="AK21" s="6">
        <v>8</v>
      </c>
    </row>
    <row r="22" spans="2:37" x14ac:dyDescent="0.2">
      <c r="B22" s="24"/>
      <c r="C22" s="92" t="s">
        <v>15</v>
      </c>
      <c r="D22" s="92" t="s">
        <v>27</v>
      </c>
      <c r="E22" s="93">
        <v>25</v>
      </c>
      <c r="F22" s="93"/>
      <c r="G22" s="93">
        <v>340</v>
      </c>
      <c r="H22" s="94">
        <f t="shared" si="6"/>
        <v>8500</v>
      </c>
      <c r="I22" s="93"/>
      <c r="J22" s="93"/>
      <c r="K22" s="95">
        <f>H22*K$19*((U$35+U$37)*U$36)/100</f>
        <v>3139.7416874999994</v>
      </c>
      <c r="L22" s="96">
        <f>(H22*L$19*((U$35+U$37)*U$36)/100)-(H22*K$19*((U$35+U$37)*U$36)/100)</f>
        <v>1674.5288999999998</v>
      </c>
      <c r="M22" s="95">
        <f>H22*M$19*((W$35+W$37)*W$36)/100</f>
        <v>2816.8160624999996</v>
      </c>
      <c r="N22" s="96">
        <f>(H22*N$19*((W$35+W$37)*W$36)/100)-(H22*M$19*((W$35+W$37)*W$36)/100)</f>
        <v>1690.0896374999998</v>
      </c>
      <c r="O22" s="39"/>
      <c r="P22" s="39"/>
      <c r="Q22" s="39"/>
      <c r="S22" s="11" t="s">
        <v>30</v>
      </c>
      <c r="T22" s="65">
        <v>102.79</v>
      </c>
      <c r="U22" s="16">
        <f t="shared" si="7"/>
        <v>140.98750000000001</v>
      </c>
      <c r="V22" s="113">
        <v>55.42</v>
      </c>
      <c r="W22" s="114">
        <f t="shared" si="8"/>
        <v>81.775000000000006</v>
      </c>
      <c r="X22" s="41"/>
      <c r="Y22" s="11" t="s">
        <v>30</v>
      </c>
      <c r="Z22" s="4">
        <v>1.7</v>
      </c>
      <c r="AA22" s="5">
        <v>2.4</v>
      </c>
      <c r="AB22" s="5">
        <v>3</v>
      </c>
      <c r="AC22" s="6">
        <v>4.2</v>
      </c>
      <c r="AD22" s="4">
        <v>2.5</v>
      </c>
      <c r="AE22" s="5">
        <v>3</v>
      </c>
      <c r="AF22" s="5">
        <v>3.7</v>
      </c>
      <c r="AG22" s="6">
        <v>4.8</v>
      </c>
      <c r="AH22" s="4">
        <v>3</v>
      </c>
      <c r="AI22" s="5">
        <v>4</v>
      </c>
      <c r="AJ22" s="5">
        <v>5.5</v>
      </c>
      <c r="AK22" s="6">
        <v>8</v>
      </c>
    </row>
    <row r="23" spans="2:37" x14ac:dyDescent="0.2">
      <c r="B23" s="28"/>
      <c r="C23" s="97" t="s">
        <v>16</v>
      </c>
      <c r="D23" s="97" t="s">
        <v>27</v>
      </c>
      <c r="E23" s="98">
        <v>25</v>
      </c>
      <c r="F23" s="98"/>
      <c r="G23" s="98">
        <v>320</v>
      </c>
      <c r="H23" s="99">
        <f t="shared" si="6"/>
        <v>8000</v>
      </c>
      <c r="I23" s="93"/>
      <c r="J23" s="93"/>
      <c r="K23" s="100">
        <f>H23*K$19*((U$35+U$37)*U$36)/100</f>
        <v>2955.0509999999999</v>
      </c>
      <c r="L23" s="101">
        <f>(H23*L$19*((U$35+U$37)*U$36)/100)-(H23*K$19*((U$35+U$37)*U$36)/100)</f>
        <v>1576.0272</v>
      </c>
      <c r="M23" s="100">
        <f>H23*M$19*((W$35+W$37)*W$36)/100</f>
        <v>2651.1209999999996</v>
      </c>
      <c r="N23" s="101">
        <f>(H23*N$19*((W$35+W$37)*W$36)/100)-(H23*M$19*((W$35+W$37)*W$36)/100)</f>
        <v>1590.6725999999994</v>
      </c>
      <c r="O23" s="39"/>
      <c r="P23" s="39"/>
      <c r="Q23" s="39"/>
      <c r="S23" s="11" t="s">
        <v>31</v>
      </c>
      <c r="T23" s="65">
        <v>91.79</v>
      </c>
      <c r="U23" s="16">
        <f t="shared" si="7"/>
        <v>127.23750000000001</v>
      </c>
      <c r="V23" s="113">
        <v>63.36</v>
      </c>
      <c r="W23" s="114">
        <f t="shared" si="8"/>
        <v>91.7</v>
      </c>
      <c r="X23" s="41"/>
      <c r="Y23" s="11" t="s">
        <v>31</v>
      </c>
      <c r="Z23" s="4">
        <v>1.6</v>
      </c>
      <c r="AA23" s="5">
        <v>2.2999999999999998</v>
      </c>
      <c r="AB23" s="5">
        <v>2.6</v>
      </c>
      <c r="AC23" s="6">
        <v>3.8</v>
      </c>
      <c r="AD23" s="4">
        <v>2</v>
      </c>
      <c r="AE23" s="5">
        <v>2.7</v>
      </c>
      <c r="AF23" s="5">
        <v>3.2</v>
      </c>
      <c r="AG23" s="6">
        <v>4</v>
      </c>
      <c r="AH23" s="4">
        <v>2.5</v>
      </c>
      <c r="AI23" s="5">
        <v>3.8</v>
      </c>
      <c r="AJ23" s="5">
        <v>4.4000000000000004</v>
      </c>
      <c r="AK23" s="6">
        <v>6.5</v>
      </c>
    </row>
    <row r="24" spans="2:37" ht="15" thickBot="1" x14ac:dyDescent="0.25">
      <c r="K24" s="174" t="s">
        <v>180</v>
      </c>
      <c r="L24" s="193">
        <f>L19/K19-1</f>
        <v>0.53333333333333344</v>
      </c>
      <c r="P24" s="2"/>
      <c r="Q24" s="2"/>
      <c r="S24" s="11" t="s">
        <v>32</v>
      </c>
      <c r="T24" s="65">
        <v>73.87</v>
      </c>
      <c r="U24" s="16">
        <f t="shared" si="7"/>
        <v>104.83750000000001</v>
      </c>
      <c r="V24" s="113">
        <v>62.45</v>
      </c>
      <c r="W24" s="114">
        <f t="shared" si="8"/>
        <v>90.5625</v>
      </c>
      <c r="X24" s="41"/>
      <c r="Y24" s="11" t="s">
        <v>32</v>
      </c>
      <c r="Z24" s="4">
        <v>1.5</v>
      </c>
      <c r="AA24" s="5">
        <v>2</v>
      </c>
      <c r="AB24" s="5">
        <v>2.4</v>
      </c>
      <c r="AC24" s="6">
        <v>3.5</v>
      </c>
      <c r="AD24" s="4">
        <v>1.8</v>
      </c>
      <c r="AE24" s="5">
        <v>2.2000000000000002</v>
      </c>
      <c r="AF24" s="5">
        <v>3</v>
      </c>
      <c r="AG24" s="6">
        <v>3.5</v>
      </c>
      <c r="AH24" s="4">
        <v>2</v>
      </c>
      <c r="AI24" s="5">
        <v>2.8</v>
      </c>
      <c r="AJ24" s="5">
        <v>3</v>
      </c>
      <c r="AK24" s="6">
        <v>4</v>
      </c>
    </row>
    <row r="25" spans="2:37" ht="16" thickTop="1" x14ac:dyDescent="0.2">
      <c r="B25" s="123"/>
      <c r="C25" s="77"/>
      <c r="D25" s="77"/>
      <c r="E25" s="124"/>
      <c r="F25" s="124"/>
      <c r="G25" s="124"/>
      <c r="H25" s="125"/>
      <c r="K25" s="245" t="s">
        <v>159</v>
      </c>
      <c r="L25" s="246"/>
      <c r="M25" s="246"/>
      <c r="N25" s="246"/>
      <c r="O25" s="143"/>
      <c r="P25" s="144">
        <v>2023</v>
      </c>
      <c r="Q25" s="2"/>
      <c r="S25" s="11" t="s">
        <v>33</v>
      </c>
      <c r="T25" s="65">
        <v>73.5</v>
      </c>
      <c r="U25" s="16">
        <f t="shared" si="7"/>
        <v>104.375</v>
      </c>
      <c r="V25" s="113">
        <v>50.58</v>
      </c>
      <c r="W25" s="114">
        <f t="shared" si="8"/>
        <v>75.724999999999994</v>
      </c>
      <c r="X25" s="41"/>
      <c r="Y25" s="11" t="s">
        <v>33</v>
      </c>
      <c r="Z25" s="4">
        <v>1</v>
      </c>
      <c r="AA25" s="5">
        <v>1.5</v>
      </c>
      <c r="AB25" s="5">
        <v>1.8</v>
      </c>
      <c r="AC25" s="6">
        <v>2.5</v>
      </c>
      <c r="AD25" s="4">
        <v>1.2</v>
      </c>
      <c r="AE25" s="5">
        <v>1.5</v>
      </c>
      <c r="AF25" s="5">
        <v>2</v>
      </c>
      <c r="AG25" s="6">
        <v>2.4</v>
      </c>
      <c r="AH25" s="4">
        <v>0.8</v>
      </c>
      <c r="AI25" s="5">
        <v>1</v>
      </c>
      <c r="AJ25" s="5">
        <v>1</v>
      </c>
      <c r="AK25" s="6">
        <v>1.5</v>
      </c>
    </row>
    <row r="26" spans="2:37" x14ac:dyDescent="0.2">
      <c r="B26" s="126" t="s">
        <v>28</v>
      </c>
      <c r="C26" s="13" t="s">
        <v>72</v>
      </c>
      <c r="D26" s="13" t="s">
        <v>47</v>
      </c>
      <c r="E26" s="2">
        <v>1500</v>
      </c>
      <c r="F26" s="146">
        <v>0.7</v>
      </c>
      <c r="G26" s="2">
        <v>2</v>
      </c>
      <c r="H26" s="127">
        <f>E26*G26*F26</f>
        <v>2100</v>
      </c>
      <c r="K26" s="83"/>
      <c r="L26" s="79" t="s">
        <v>1</v>
      </c>
      <c r="M26" s="208" t="s">
        <v>2</v>
      </c>
      <c r="N26" s="208" t="s">
        <v>6</v>
      </c>
      <c r="O26" s="209"/>
      <c r="P26" s="210">
        <f>L4+P4</f>
        <v>2800.0139166666668</v>
      </c>
      <c r="Q26" s="2"/>
      <c r="S26" s="11" t="s">
        <v>34</v>
      </c>
      <c r="T26" s="65">
        <v>103.39</v>
      </c>
      <c r="U26" s="16">
        <f t="shared" si="7"/>
        <v>141.73750000000001</v>
      </c>
      <c r="V26" s="113">
        <v>62.7</v>
      </c>
      <c r="W26" s="114">
        <f t="shared" si="8"/>
        <v>90.875</v>
      </c>
      <c r="X26" s="41"/>
      <c r="Y26" s="11" t="s">
        <v>34</v>
      </c>
      <c r="Z26" s="4">
        <v>0.8</v>
      </c>
      <c r="AA26" s="5">
        <v>1.2</v>
      </c>
      <c r="AB26" s="5">
        <v>1.5</v>
      </c>
      <c r="AC26" s="5">
        <v>2</v>
      </c>
      <c r="AD26" s="4">
        <v>0.8</v>
      </c>
      <c r="AE26" s="5">
        <v>1.2</v>
      </c>
      <c r="AF26" s="5">
        <v>1.5</v>
      </c>
      <c r="AG26" s="5">
        <v>1.8</v>
      </c>
      <c r="AH26" s="4">
        <v>0.6</v>
      </c>
      <c r="AI26" s="5">
        <v>0.6</v>
      </c>
      <c r="AJ26" s="5">
        <v>0.6</v>
      </c>
      <c r="AK26" s="6">
        <v>0.6</v>
      </c>
    </row>
    <row r="27" spans="2:37" x14ac:dyDescent="0.2">
      <c r="B27" s="128"/>
      <c r="C27" s="129"/>
      <c r="D27" s="129"/>
      <c r="E27" s="130"/>
      <c r="F27" s="131"/>
      <c r="G27" s="130"/>
      <c r="H27" s="132"/>
      <c r="K27" s="85"/>
      <c r="L27" s="80"/>
      <c r="M27" s="208"/>
      <c r="N27" s="208" t="s">
        <v>7</v>
      </c>
      <c r="O27" s="209"/>
      <c r="P27" s="210">
        <f>P26+L$20</f>
        <v>4770.0479166666664</v>
      </c>
      <c r="Q27" s="2"/>
      <c r="S27" s="11" t="s">
        <v>35</v>
      </c>
      <c r="T27" s="65">
        <v>41.76</v>
      </c>
      <c r="U27" s="16">
        <f t="shared" si="7"/>
        <v>64.7</v>
      </c>
      <c r="V27" s="113">
        <v>43.34</v>
      </c>
      <c r="W27" s="114">
        <f t="shared" si="8"/>
        <v>66.675000000000011</v>
      </c>
      <c r="X27" s="41"/>
      <c r="Y27" s="11" t="s">
        <v>35</v>
      </c>
      <c r="Z27" s="4">
        <v>0.8</v>
      </c>
      <c r="AA27" s="5">
        <v>1.2</v>
      </c>
      <c r="AB27" s="5">
        <v>1.5</v>
      </c>
      <c r="AC27" s="5">
        <v>2</v>
      </c>
      <c r="AD27" s="4">
        <v>0.8</v>
      </c>
      <c r="AE27" s="5">
        <v>1.2</v>
      </c>
      <c r="AF27" s="5">
        <v>1.5</v>
      </c>
      <c r="AG27" s="5">
        <v>1.8</v>
      </c>
      <c r="AH27" s="4">
        <v>0.6</v>
      </c>
      <c r="AI27" s="5">
        <v>0.6</v>
      </c>
      <c r="AJ27" s="5">
        <v>0.6</v>
      </c>
      <c r="AK27" s="6">
        <v>0.6</v>
      </c>
    </row>
    <row r="28" spans="2:37" x14ac:dyDescent="0.2">
      <c r="F28" s="42"/>
      <c r="K28" s="85"/>
      <c r="L28" s="80"/>
      <c r="M28" s="208"/>
      <c r="N28" s="208" t="s">
        <v>8</v>
      </c>
      <c r="O28" s="209"/>
      <c r="P28" s="210">
        <f>L4+Q4</f>
        <v>3096.0139166666672</v>
      </c>
      <c r="Q28" s="2"/>
      <c r="S28" s="11" t="s">
        <v>36</v>
      </c>
      <c r="T28" s="65">
        <v>49.54</v>
      </c>
      <c r="U28" s="16">
        <f t="shared" si="7"/>
        <v>74.424999999999997</v>
      </c>
      <c r="V28" s="113">
        <v>45.93</v>
      </c>
      <c r="W28" s="114">
        <f t="shared" si="8"/>
        <v>69.912499999999994</v>
      </c>
      <c r="X28" s="41"/>
      <c r="Y28" s="11" t="s">
        <v>36</v>
      </c>
      <c r="Z28" s="4">
        <v>0.8</v>
      </c>
      <c r="AA28" s="5">
        <v>1.2</v>
      </c>
      <c r="AB28" s="5">
        <v>1.5</v>
      </c>
      <c r="AC28" s="5">
        <v>2</v>
      </c>
      <c r="AD28" s="4">
        <v>0.8</v>
      </c>
      <c r="AE28" s="5">
        <v>1.2</v>
      </c>
      <c r="AF28" s="5">
        <v>1.5</v>
      </c>
      <c r="AG28" s="5">
        <v>1.8</v>
      </c>
      <c r="AH28" s="4">
        <v>0.6</v>
      </c>
      <c r="AI28" s="5">
        <v>0.6</v>
      </c>
      <c r="AJ28" s="5">
        <v>0.6</v>
      </c>
      <c r="AK28" s="6">
        <v>0.6</v>
      </c>
    </row>
    <row r="29" spans="2:37" x14ac:dyDescent="0.2">
      <c r="K29" s="85"/>
      <c r="L29" s="80"/>
      <c r="M29" s="208"/>
      <c r="N29" s="208" t="s">
        <v>9</v>
      </c>
      <c r="O29" s="209"/>
      <c r="P29" s="210">
        <f>P28+L$20</f>
        <v>5066.0479166666664</v>
      </c>
      <c r="Q29" s="2"/>
      <c r="S29" s="11" t="s">
        <v>37</v>
      </c>
      <c r="T29" s="65">
        <v>51.33</v>
      </c>
      <c r="U29" s="16">
        <f t="shared" si="7"/>
        <v>76.662499999999994</v>
      </c>
      <c r="V29" s="113">
        <v>30.67</v>
      </c>
      <c r="W29" s="114">
        <f t="shared" si="8"/>
        <v>50.837500000000006</v>
      </c>
      <c r="X29" s="41"/>
      <c r="Y29" s="11" t="s">
        <v>37</v>
      </c>
      <c r="Z29" s="4">
        <v>0.8</v>
      </c>
      <c r="AA29" s="5">
        <v>1.2</v>
      </c>
      <c r="AB29" s="5">
        <v>1.5</v>
      </c>
      <c r="AC29" s="6">
        <v>2</v>
      </c>
      <c r="AD29" s="4">
        <v>0.8</v>
      </c>
      <c r="AE29" s="5">
        <v>1.2</v>
      </c>
      <c r="AF29" s="5">
        <v>1.5</v>
      </c>
      <c r="AG29" s="6">
        <v>1.8</v>
      </c>
      <c r="AH29" s="4">
        <v>0.6</v>
      </c>
      <c r="AI29" s="5">
        <v>0.6</v>
      </c>
      <c r="AJ29" s="5">
        <v>0.6</v>
      </c>
      <c r="AK29" s="6">
        <v>0.6</v>
      </c>
    </row>
    <row r="30" spans="2:37" x14ac:dyDescent="0.2">
      <c r="K30" s="85"/>
      <c r="L30" s="80"/>
      <c r="M30" s="72" t="s">
        <v>3</v>
      </c>
      <c r="N30" s="72" t="s">
        <v>6</v>
      </c>
      <c r="O30" s="73"/>
      <c r="P30" s="86">
        <f>L5+P5</f>
        <v>3877.7963333333337</v>
      </c>
      <c r="Q30" s="2"/>
      <c r="S30" s="11" t="s">
        <v>38</v>
      </c>
      <c r="T30" s="65">
        <v>35.950000000000003</v>
      </c>
      <c r="U30" s="16">
        <f t="shared" si="7"/>
        <v>57.4375</v>
      </c>
      <c r="V30" s="113">
        <v>30.15</v>
      </c>
      <c r="W30" s="114">
        <f t="shared" si="8"/>
        <v>50.1875</v>
      </c>
      <c r="X30" s="41"/>
      <c r="Y30" s="11" t="s">
        <v>38</v>
      </c>
      <c r="Z30" s="4">
        <v>1</v>
      </c>
      <c r="AA30" s="5">
        <v>2</v>
      </c>
      <c r="AB30" s="5">
        <v>1.8</v>
      </c>
      <c r="AC30" s="6">
        <v>3</v>
      </c>
      <c r="AD30" s="4">
        <v>1</v>
      </c>
      <c r="AE30" s="5">
        <v>2</v>
      </c>
      <c r="AF30" s="5">
        <v>2</v>
      </c>
      <c r="AG30" s="6">
        <v>2.4</v>
      </c>
      <c r="AH30" s="4">
        <v>1</v>
      </c>
      <c r="AI30" s="5">
        <v>1.5</v>
      </c>
      <c r="AJ30" s="5">
        <v>2</v>
      </c>
      <c r="AK30" s="6">
        <v>3</v>
      </c>
    </row>
    <row r="31" spans="2:37" x14ac:dyDescent="0.2">
      <c r="K31" s="85"/>
      <c r="L31" s="80"/>
      <c r="M31" s="80"/>
      <c r="N31" s="80" t="s">
        <v>7</v>
      </c>
      <c r="O31" s="78"/>
      <c r="P31" s="84">
        <f>P30+L$20</f>
        <v>5847.8303333333333</v>
      </c>
      <c r="Q31" s="2"/>
      <c r="S31" s="11" t="s">
        <v>39</v>
      </c>
      <c r="T31" s="65">
        <v>84.72</v>
      </c>
      <c r="U31" s="16">
        <f t="shared" si="7"/>
        <v>118.4</v>
      </c>
      <c r="V31" s="113">
        <v>84.65</v>
      </c>
      <c r="W31" s="114">
        <f t="shared" si="8"/>
        <v>118.3125</v>
      </c>
      <c r="X31" s="41"/>
      <c r="Y31" s="11" t="s">
        <v>39</v>
      </c>
      <c r="Z31" s="4">
        <v>1.5</v>
      </c>
      <c r="AA31" s="5">
        <v>2.2000000000000002</v>
      </c>
      <c r="AB31" s="5">
        <v>2.4</v>
      </c>
      <c r="AC31" s="6">
        <v>3.5</v>
      </c>
      <c r="AD31" s="4">
        <v>2</v>
      </c>
      <c r="AE31" s="5">
        <v>2.5</v>
      </c>
      <c r="AF31" s="5">
        <v>3</v>
      </c>
      <c r="AG31" s="6">
        <v>3.5</v>
      </c>
      <c r="AH31" s="4">
        <v>2</v>
      </c>
      <c r="AI31" s="5">
        <v>3</v>
      </c>
      <c r="AJ31" s="5">
        <v>3.8</v>
      </c>
      <c r="AK31" s="6">
        <v>6</v>
      </c>
    </row>
    <row r="32" spans="2:37" x14ac:dyDescent="0.2">
      <c r="K32" s="85"/>
      <c r="L32" s="80"/>
      <c r="M32" s="80"/>
      <c r="N32" s="80" t="s">
        <v>8</v>
      </c>
      <c r="O32" s="78"/>
      <c r="P32" s="84">
        <f>L5+Q5</f>
        <v>4315.7963333333337</v>
      </c>
      <c r="Q32" s="2"/>
      <c r="S32" s="11" t="s">
        <v>40</v>
      </c>
      <c r="T32" s="71">
        <v>81.39</v>
      </c>
      <c r="U32" s="16">
        <f t="shared" si="7"/>
        <v>114.2375</v>
      </c>
      <c r="V32" s="113">
        <v>70.77</v>
      </c>
      <c r="W32" s="114">
        <f t="shared" si="8"/>
        <v>100.96249999999999</v>
      </c>
      <c r="X32" s="41"/>
      <c r="Y32" s="11" t="s">
        <v>40</v>
      </c>
      <c r="Z32" s="4">
        <v>1.6</v>
      </c>
      <c r="AA32" s="5">
        <v>2.2999999999999998</v>
      </c>
      <c r="AB32" s="5">
        <v>2.6</v>
      </c>
      <c r="AC32" s="6">
        <v>4</v>
      </c>
      <c r="AD32" s="4">
        <v>2.2000000000000002</v>
      </c>
      <c r="AE32" s="5">
        <v>3</v>
      </c>
      <c r="AF32" s="5">
        <v>3.6</v>
      </c>
      <c r="AG32" s="6">
        <v>4.5</v>
      </c>
      <c r="AH32" s="4">
        <v>3</v>
      </c>
      <c r="AI32" s="5">
        <v>4</v>
      </c>
      <c r="AJ32" s="5">
        <v>5.5</v>
      </c>
      <c r="AK32" s="6">
        <v>7.5</v>
      </c>
    </row>
    <row r="33" spans="8:38" x14ac:dyDescent="0.2">
      <c r="K33" s="85"/>
      <c r="L33" s="80"/>
      <c r="M33" s="80"/>
      <c r="N33" s="80" t="s">
        <v>9</v>
      </c>
      <c r="O33" s="78"/>
      <c r="P33" s="84">
        <f>P32+L$20</f>
        <v>6285.8303333333333</v>
      </c>
      <c r="Q33" s="2"/>
      <c r="S33" s="14" t="s">
        <v>43</v>
      </c>
      <c r="T33" s="17">
        <f>SUM(T21:T32)/12</f>
        <v>74.538333333333341</v>
      </c>
      <c r="U33" s="18">
        <f>SUM(U21:U32)/12</f>
        <v>105.67291666666667</v>
      </c>
      <c r="V33" s="115">
        <f>SUM(V21:V32)/12</f>
        <v>57.00333333333333</v>
      </c>
      <c r="W33" s="116">
        <f>SUM(W21:W32)/12</f>
        <v>83.754166666666677</v>
      </c>
      <c r="X33" s="19"/>
      <c r="Y33" s="14" t="s">
        <v>43</v>
      </c>
      <c r="Z33" s="17">
        <f>SUM(Z21:Z32)/12</f>
        <v>1.2333333333333336</v>
      </c>
      <c r="AA33" s="43">
        <f>SUM(AA21:AA32)/12</f>
        <v>1.825</v>
      </c>
      <c r="AB33" s="43">
        <f>SUM(AB21:AB32)/12</f>
        <v>2.1333333333333333</v>
      </c>
      <c r="AC33" s="18">
        <f>SUM(AC21:AC32)/12</f>
        <v>3.0583333333333336</v>
      </c>
      <c r="AD33" s="17">
        <f t="shared" ref="AD33:AK33" si="9">SUM(AD21:AD32)/12</f>
        <v>1.5166666666666666</v>
      </c>
      <c r="AE33" s="43">
        <f t="shared" si="9"/>
        <v>2.0583333333333331</v>
      </c>
      <c r="AF33" s="43">
        <f t="shared" si="9"/>
        <v>2.5166666666666671</v>
      </c>
      <c r="AG33" s="18">
        <f t="shared" si="9"/>
        <v>3.0916666666666668</v>
      </c>
      <c r="AH33" s="17">
        <f t="shared" si="9"/>
        <v>1.6416666666666666</v>
      </c>
      <c r="AI33" s="43">
        <f t="shared" si="9"/>
        <v>2.2083333333333339</v>
      </c>
      <c r="AJ33" s="43">
        <f t="shared" si="9"/>
        <v>2.7583333333333342</v>
      </c>
      <c r="AK33" s="18">
        <f t="shared" si="9"/>
        <v>3.9083333333333337</v>
      </c>
    </row>
    <row r="34" spans="8:38" x14ac:dyDescent="0.2">
      <c r="K34" s="85"/>
      <c r="L34" s="80"/>
      <c r="M34" s="72" t="s">
        <v>4</v>
      </c>
      <c r="N34" s="72" t="s">
        <v>6</v>
      </c>
      <c r="O34" s="73"/>
      <c r="P34" s="86">
        <f>L6+P6</f>
        <v>5168.5114166666663</v>
      </c>
      <c r="Q34" s="2"/>
      <c r="S34" s="15"/>
      <c r="T34" s="19"/>
      <c r="U34" s="19"/>
      <c r="V34" s="117"/>
      <c r="W34" s="117"/>
      <c r="X34" s="19"/>
      <c r="Y34" s="163" t="s">
        <v>54</v>
      </c>
      <c r="Z34" s="36">
        <v>6</v>
      </c>
      <c r="AA34" s="2">
        <v>8</v>
      </c>
      <c r="AB34" s="2">
        <v>10</v>
      </c>
      <c r="AC34" s="2">
        <v>14</v>
      </c>
      <c r="AD34" s="2">
        <v>6</v>
      </c>
      <c r="AE34" s="2">
        <v>8</v>
      </c>
      <c r="AF34" s="2">
        <v>10</v>
      </c>
      <c r="AG34" s="2">
        <v>14</v>
      </c>
      <c r="AH34" s="2">
        <v>6</v>
      </c>
      <c r="AI34" s="2">
        <v>8</v>
      </c>
      <c r="AJ34" s="2">
        <v>10</v>
      </c>
      <c r="AK34" s="2">
        <v>14</v>
      </c>
    </row>
    <row r="35" spans="8:38" x14ac:dyDescent="0.2">
      <c r="K35" s="85"/>
      <c r="L35" s="80"/>
      <c r="M35" s="80"/>
      <c r="N35" s="80" t="s">
        <v>7</v>
      </c>
      <c r="O35" s="78"/>
      <c r="P35" s="84">
        <f>P34+L$20</f>
        <v>7138.5454166666659</v>
      </c>
      <c r="Q35" s="2"/>
      <c r="S35" s="155" t="s">
        <v>45</v>
      </c>
      <c r="T35" s="167" t="s">
        <v>46</v>
      </c>
      <c r="U35" s="168">
        <f>SUM(U25:U30)/6</f>
        <v>86.556249999999991</v>
      </c>
      <c r="V35" s="118"/>
      <c r="W35" s="119">
        <f>SUM(W25:W30)/6</f>
        <v>67.368749999999991</v>
      </c>
      <c r="X35" s="5"/>
      <c r="Y35" s="164" t="s">
        <v>55</v>
      </c>
      <c r="Z35" s="158">
        <v>100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spans="8:38" x14ac:dyDescent="0.2">
      <c r="K36" s="85"/>
      <c r="L36" s="80"/>
      <c r="M36" s="80"/>
      <c r="N36" s="80" t="s">
        <v>8</v>
      </c>
      <c r="O36" s="78"/>
      <c r="P36" s="84">
        <f>L6+Q6</f>
        <v>5680.5114166666672</v>
      </c>
      <c r="Q36" s="2"/>
      <c r="S36" s="156" t="s">
        <v>50</v>
      </c>
      <c r="T36" s="169"/>
      <c r="U36" s="66">
        <v>0.66</v>
      </c>
      <c r="V36" s="93"/>
      <c r="W36" s="120">
        <v>0.66</v>
      </c>
      <c r="X36" s="42"/>
      <c r="Y36" s="165" t="s">
        <v>58</v>
      </c>
      <c r="Z36" s="159">
        <v>20</v>
      </c>
      <c r="AB36" s="13"/>
      <c r="AC36" s="13"/>
      <c r="AD36" s="13"/>
      <c r="AF36" s="13"/>
      <c r="AG36" s="13"/>
      <c r="AH36" s="13"/>
    </row>
    <row r="37" spans="8:38" x14ac:dyDescent="0.2">
      <c r="K37" s="85"/>
      <c r="L37" s="80"/>
      <c r="M37" s="80"/>
      <c r="N37" s="80" t="s">
        <v>9</v>
      </c>
      <c r="O37" s="78"/>
      <c r="P37" s="84">
        <f>P36+L$20</f>
        <v>7650.5454166666659</v>
      </c>
      <c r="Q37" s="2"/>
      <c r="S37" s="157" t="s">
        <v>44</v>
      </c>
      <c r="T37" s="150"/>
      <c r="U37" s="67">
        <v>100</v>
      </c>
      <c r="V37" s="98"/>
      <c r="W37" s="121">
        <v>100</v>
      </c>
      <c r="X37" s="15"/>
      <c r="Y37" s="166" t="s">
        <v>67</v>
      </c>
      <c r="Z37" s="160">
        <v>8</v>
      </c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8:38" x14ac:dyDescent="0.2">
      <c r="K38" s="85"/>
      <c r="L38" s="80"/>
      <c r="M38" s="72" t="s">
        <v>5</v>
      </c>
      <c r="N38" s="72" t="s">
        <v>6</v>
      </c>
      <c r="O38" s="73"/>
      <c r="P38" s="86">
        <f>L7+P7</f>
        <v>7254.7843750000011</v>
      </c>
      <c r="V38" s="15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spans="8:38" x14ac:dyDescent="0.2">
      <c r="K39" s="85"/>
      <c r="L39" s="80"/>
      <c r="M39" s="80"/>
      <c r="N39" s="80" t="s">
        <v>7</v>
      </c>
      <c r="O39" s="78"/>
      <c r="P39" s="84">
        <f>P38+L$20</f>
        <v>9224.8183750000007</v>
      </c>
      <c r="V39" s="15"/>
      <c r="W39" s="12"/>
      <c r="X39" s="12"/>
      <c r="Y39" s="174" t="s">
        <v>29</v>
      </c>
      <c r="Z39" s="175">
        <f>Z$34/Z21</f>
        <v>3.5294117647058822</v>
      </c>
      <c r="AA39" s="175">
        <f t="shared" ref="AA39:AK39" si="10">AA$34/AA21</f>
        <v>3.3333333333333335</v>
      </c>
      <c r="AB39" s="175">
        <f t="shared" si="10"/>
        <v>3.3333333333333335</v>
      </c>
      <c r="AC39" s="175">
        <f t="shared" si="10"/>
        <v>3.333333333333333</v>
      </c>
      <c r="AD39" s="175">
        <f t="shared" si="10"/>
        <v>2.6086956521739131</v>
      </c>
      <c r="AE39" s="175">
        <f t="shared" si="10"/>
        <v>2.6666666666666665</v>
      </c>
      <c r="AF39" s="175">
        <f t="shared" si="10"/>
        <v>2.7027027027027026</v>
      </c>
      <c r="AG39" s="175">
        <f t="shared" si="10"/>
        <v>2.916666666666667</v>
      </c>
      <c r="AH39" s="175">
        <f>AH$34/AH21</f>
        <v>2</v>
      </c>
      <c r="AI39" s="175">
        <f t="shared" si="10"/>
        <v>2</v>
      </c>
      <c r="AJ39" s="175">
        <f t="shared" si="10"/>
        <v>1.8181818181818181</v>
      </c>
      <c r="AK39" s="175">
        <f t="shared" si="10"/>
        <v>1.75</v>
      </c>
    </row>
    <row r="40" spans="8:38" x14ac:dyDescent="0.2">
      <c r="K40" s="85"/>
      <c r="L40" s="80"/>
      <c r="M40" s="80"/>
      <c r="N40" s="80" t="s">
        <v>8</v>
      </c>
      <c r="O40" s="78"/>
      <c r="P40" s="84">
        <f>L7+Q7</f>
        <v>7988.7843750000011</v>
      </c>
      <c r="V40" s="15"/>
      <c r="W40" s="12"/>
      <c r="X40" s="12"/>
      <c r="Y40" s="15"/>
      <c r="Z40" s="173"/>
      <c r="AA40" s="12"/>
      <c r="AB40" s="12"/>
      <c r="AC40" s="12"/>
      <c r="AD40" s="12"/>
      <c r="AE40" s="12"/>
      <c r="AF40" s="12"/>
      <c r="AG40" s="12"/>
      <c r="AH40" s="12"/>
    </row>
    <row r="41" spans="8:38" x14ac:dyDescent="0.2">
      <c r="K41" s="85"/>
      <c r="L41" s="80"/>
      <c r="M41" s="80"/>
      <c r="N41" s="80" t="s">
        <v>9</v>
      </c>
      <c r="O41" s="78"/>
      <c r="P41" s="84">
        <f>P40+L$20</f>
        <v>9958.8183750000007</v>
      </c>
      <c r="V41" s="15"/>
      <c r="W41" s="12"/>
      <c r="X41" s="12"/>
      <c r="Y41" s="15"/>
      <c r="Z41" s="15"/>
      <c r="AA41" s="15"/>
      <c r="AB41" s="15"/>
      <c r="AC41" s="15"/>
      <c r="AD41" s="173"/>
      <c r="AE41" s="12"/>
      <c r="AF41" s="12"/>
      <c r="AG41" s="12"/>
      <c r="AH41" s="12"/>
      <c r="AI41" s="12"/>
      <c r="AJ41" s="12"/>
      <c r="AK41" s="12"/>
      <c r="AL41" s="12"/>
    </row>
    <row r="42" spans="8:38" x14ac:dyDescent="0.2">
      <c r="K42" s="85"/>
      <c r="L42" s="74" t="s">
        <v>12</v>
      </c>
      <c r="M42" s="211" t="s">
        <v>2</v>
      </c>
      <c r="N42" s="211" t="s">
        <v>6</v>
      </c>
      <c r="O42" s="212"/>
      <c r="P42" s="213">
        <f>L8+P8</f>
        <v>3686.0795833333332</v>
      </c>
      <c r="V42" s="15"/>
      <c r="W42" s="12"/>
      <c r="X42" s="12"/>
      <c r="Y42" s="15"/>
      <c r="Z42" s="15"/>
      <c r="AA42" s="15"/>
      <c r="AB42" s="15"/>
      <c r="AC42" s="15"/>
      <c r="AD42" s="223"/>
      <c r="AE42" s="224"/>
      <c r="AF42" s="224"/>
      <c r="AG42" s="224"/>
      <c r="AH42" s="12"/>
      <c r="AI42" s="12"/>
      <c r="AJ42" s="12"/>
      <c r="AK42" s="12"/>
      <c r="AL42" s="12"/>
    </row>
    <row r="43" spans="8:38" x14ac:dyDescent="0.2">
      <c r="K43" s="85"/>
      <c r="L43" s="80"/>
      <c r="M43" s="208"/>
      <c r="N43" s="208" t="s">
        <v>7</v>
      </c>
      <c r="O43" s="209"/>
      <c r="P43" s="210">
        <f>P42+L$20</f>
        <v>5656.1135833333319</v>
      </c>
      <c r="V43" s="15"/>
      <c r="W43" s="12"/>
      <c r="X43" s="12"/>
      <c r="AA43" s="2"/>
      <c r="AE43" s="2"/>
      <c r="AH43" s="12"/>
      <c r="AI43" s="12"/>
      <c r="AJ43" s="12"/>
      <c r="AK43" s="12"/>
      <c r="AL43" s="12"/>
    </row>
    <row r="44" spans="8:38" x14ac:dyDescent="0.2">
      <c r="K44" s="85"/>
      <c r="L44" s="80"/>
      <c r="M44" s="208"/>
      <c r="N44" s="208" t="s">
        <v>8</v>
      </c>
      <c r="O44" s="209"/>
      <c r="P44" s="210">
        <f>L8+Q8</f>
        <v>4050.0795833333336</v>
      </c>
      <c r="V44" s="15"/>
      <c r="W44" s="12"/>
      <c r="X44" s="12"/>
      <c r="Y44" s="15"/>
      <c r="Z44" s="15"/>
      <c r="AA44" s="15"/>
      <c r="AB44" s="15"/>
      <c r="AC44" s="15"/>
      <c r="AD44" s="5"/>
      <c r="AE44" s="5"/>
      <c r="AF44" s="5"/>
      <c r="AG44" s="5"/>
      <c r="AH44" s="12"/>
      <c r="AI44" s="12"/>
      <c r="AJ44" s="12"/>
      <c r="AK44" s="12"/>
      <c r="AL44" s="12"/>
    </row>
    <row r="45" spans="8:38" x14ac:dyDescent="0.2">
      <c r="K45" s="85"/>
      <c r="L45" s="80"/>
      <c r="M45" s="208"/>
      <c r="N45" s="208" t="s">
        <v>9</v>
      </c>
      <c r="O45" s="209"/>
      <c r="P45" s="210">
        <f>P44+L$20</f>
        <v>6020.1135833333328</v>
      </c>
      <c r="V45" s="15"/>
      <c r="W45" s="12"/>
      <c r="X45" s="12"/>
      <c r="Y45" s="15"/>
      <c r="Z45" s="15"/>
      <c r="AA45" s="15"/>
      <c r="AB45" s="15"/>
      <c r="AC45" s="15"/>
      <c r="AD45" s="5"/>
      <c r="AE45" s="5"/>
      <c r="AF45" s="5"/>
      <c r="AG45" s="5"/>
      <c r="AH45" s="12"/>
      <c r="AI45" s="12"/>
      <c r="AJ45" s="12"/>
      <c r="AK45" s="12"/>
      <c r="AL45" s="12"/>
    </row>
    <row r="46" spans="8:38" x14ac:dyDescent="0.2">
      <c r="J46" s="15"/>
      <c r="K46" s="85"/>
      <c r="L46" s="80"/>
      <c r="M46" s="72" t="s">
        <v>3</v>
      </c>
      <c r="N46" s="72" t="s">
        <v>6</v>
      </c>
      <c r="O46" s="73"/>
      <c r="P46" s="86">
        <f>L9+P9</f>
        <v>4723.8620000000001</v>
      </c>
      <c r="V46" s="15"/>
      <c r="W46" s="12"/>
      <c r="X46" s="12"/>
      <c r="Y46" s="15"/>
      <c r="Z46" s="15"/>
      <c r="AA46" s="15"/>
      <c r="AB46" s="15"/>
      <c r="AC46" s="15"/>
      <c r="AD46" s="5"/>
      <c r="AE46" s="5"/>
      <c r="AF46" s="5"/>
      <c r="AG46" s="5"/>
      <c r="AH46" s="12"/>
      <c r="AI46" s="12"/>
      <c r="AJ46" s="12"/>
      <c r="AK46" s="12"/>
      <c r="AL46" s="12"/>
    </row>
    <row r="47" spans="8:38" x14ac:dyDescent="0.2">
      <c r="H47" s="15"/>
      <c r="I47" s="15"/>
      <c r="J47" s="15"/>
      <c r="K47" s="85"/>
      <c r="L47" s="80"/>
      <c r="M47" s="80"/>
      <c r="N47" s="80" t="s">
        <v>7</v>
      </c>
      <c r="O47" s="78"/>
      <c r="P47" s="84">
        <f>P46+L$20</f>
        <v>6693.8959999999988</v>
      </c>
      <c r="V47" s="15"/>
      <c r="W47" s="12"/>
      <c r="X47" s="12"/>
      <c r="Y47" s="15"/>
      <c r="Z47" s="15"/>
      <c r="AA47" s="15"/>
      <c r="AB47" s="15"/>
      <c r="AC47" s="15"/>
      <c r="AD47" s="5"/>
      <c r="AE47" s="5"/>
      <c r="AF47" s="5"/>
      <c r="AG47" s="5"/>
      <c r="AH47" s="12"/>
      <c r="AI47" s="12"/>
      <c r="AJ47" s="12"/>
      <c r="AK47" s="12"/>
      <c r="AL47" s="12"/>
    </row>
    <row r="48" spans="8:38" x14ac:dyDescent="0.2">
      <c r="H48" s="15"/>
      <c r="I48" s="15"/>
      <c r="J48" s="13"/>
      <c r="K48" s="85"/>
      <c r="L48" s="80"/>
      <c r="M48" s="80"/>
      <c r="N48" s="80" t="s">
        <v>8</v>
      </c>
      <c r="O48" s="78"/>
      <c r="P48" s="84">
        <f>L9+Q9</f>
        <v>5217.8620000000001</v>
      </c>
      <c r="V48" s="15"/>
      <c r="W48" s="12"/>
      <c r="X48" s="12"/>
      <c r="Y48" s="15"/>
      <c r="Z48" s="15"/>
      <c r="AA48" s="15"/>
      <c r="AB48" s="15"/>
      <c r="AC48" s="15"/>
      <c r="AD48" s="5"/>
      <c r="AE48" s="5"/>
      <c r="AF48" s="5"/>
      <c r="AG48" s="5"/>
      <c r="AH48" s="12"/>
      <c r="AI48" s="12"/>
      <c r="AJ48" s="12"/>
      <c r="AK48" s="12"/>
      <c r="AL48" s="12"/>
    </row>
    <row r="49" spans="3:38" x14ac:dyDescent="0.2">
      <c r="H49" s="13"/>
      <c r="I49" s="13"/>
      <c r="J49" s="19"/>
      <c r="K49" s="85"/>
      <c r="L49" s="80"/>
      <c r="M49" s="80"/>
      <c r="N49" s="80" t="s">
        <v>9</v>
      </c>
      <c r="O49" s="78"/>
      <c r="P49" s="84">
        <f>P48+L$20</f>
        <v>7187.8959999999988</v>
      </c>
      <c r="V49" s="15"/>
      <c r="W49" s="12"/>
      <c r="X49" s="12"/>
      <c r="Y49" s="15"/>
      <c r="Z49" s="15"/>
      <c r="AA49" s="15"/>
      <c r="AB49" s="15"/>
      <c r="AC49" s="15"/>
      <c r="AD49" s="5"/>
      <c r="AE49" s="5"/>
      <c r="AF49" s="5"/>
      <c r="AG49" s="5"/>
      <c r="AH49" s="12"/>
      <c r="AI49" s="12"/>
      <c r="AJ49" s="12"/>
      <c r="AK49" s="12"/>
      <c r="AL49" s="12"/>
    </row>
    <row r="50" spans="3:38" ht="13.5" customHeight="1" x14ac:dyDescent="0.2">
      <c r="E50" s="242" t="s">
        <v>182</v>
      </c>
      <c r="F50" s="243"/>
      <c r="G50" s="243"/>
      <c r="H50" s="244"/>
      <c r="I50" s="1"/>
      <c r="J50" s="19"/>
      <c r="K50" s="85"/>
      <c r="L50" s="80"/>
      <c r="M50" s="72" t="s">
        <v>4</v>
      </c>
      <c r="N50" s="72" t="s">
        <v>6</v>
      </c>
      <c r="O50" s="73"/>
      <c r="P50" s="86">
        <f>L10+P10</f>
        <v>6917.6133958333339</v>
      </c>
      <c r="V50" s="15"/>
      <c r="W50" s="12"/>
      <c r="X50" s="12"/>
      <c r="Y50" s="15"/>
      <c r="Z50" s="15"/>
      <c r="AA50" s="15"/>
      <c r="AB50" s="15"/>
      <c r="AC50" s="15"/>
      <c r="AD50" s="5"/>
      <c r="AE50" s="5"/>
      <c r="AF50" s="5"/>
      <c r="AG50" s="5"/>
      <c r="AH50" s="12"/>
      <c r="AI50" s="12"/>
      <c r="AJ50" s="12"/>
      <c r="AK50" s="12"/>
      <c r="AL50" s="12"/>
    </row>
    <row r="51" spans="3:38" ht="13.5" customHeight="1" x14ac:dyDescent="0.2">
      <c r="E51" s="181" t="s">
        <v>181</v>
      </c>
      <c r="F51" s="183">
        <v>2024</v>
      </c>
      <c r="G51" s="227" t="s">
        <v>186</v>
      </c>
      <c r="H51" s="228"/>
      <c r="I51" s="1"/>
      <c r="J51" s="19"/>
      <c r="K51" s="85"/>
      <c r="L51" s="80"/>
      <c r="M51" s="80"/>
      <c r="N51" s="80" t="s">
        <v>7</v>
      </c>
      <c r="O51" s="78"/>
      <c r="P51" s="84">
        <f>P50+L$20</f>
        <v>8887.6473958333336</v>
      </c>
      <c r="V51" s="15"/>
      <c r="W51" s="12"/>
      <c r="X51" s="12"/>
      <c r="Y51" s="15"/>
      <c r="Z51" s="15"/>
      <c r="AA51" s="15"/>
      <c r="AB51" s="15"/>
      <c r="AC51" s="15"/>
      <c r="AD51" s="5"/>
      <c r="AE51" s="5"/>
      <c r="AF51" s="5"/>
      <c r="AG51" s="5"/>
      <c r="AH51" s="12"/>
      <c r="AI51" s="12"/>
      <c r="AJ51" s="12"/>
      <c r="AK51" s="12"/>
      <c r="AL51" s="12"/>
    </row>
    <row r="52" spans="3:38" x14ac:dyDescent="0.2">
      <c r="E52" s="196" t="s">
        <v>173</v>
      </c>
      <c r="F52" s="202">
        <v>51</v>
      </c>
      <c r="G52" s="203">
        <v>56</v>
      </c>
      <c r="H52" s="185">
        <v>5</v>
      </c>
      <c r="I52" s="216"/>
      <c r="J52" s="19"/>
      <c r="K52" s="85"/>
      <c r="L52" s="80"/>
      <c r="M52" s="80"/>
      <c r="N52" s="80" t="s">
        <v>8</v>
      </c>
      <c r="O52" s="78"/>
      <c r="P52" s="84">
        <f>L10+Q10</f>
        <v>7521.6133958333339</v>
      </c>
      <c r="Y52" s="15"/>
      <c r="Z52" s="15"/>
      <c r="AA52" s="15"/>
      <c r="AB52" s="15"/>
      <c r="AC52" s="15"/>
      <c r="AD52" s="5"/>
      <c r="AE52" s="5"/>
      <c r="AF52" s="5"/>
      <c r="AG52" s="5"/>
      <c r="AJ52" s="2"/>
      <c r="AK52" s="2"/>
      <c r="AL52" s="2"/>
    </row>
    <row r="53" spans="3:38" x14ac:dyDescent="0.2">
      <c r="E53" s="180" t="s">
        <v>174</v>
      </c>
      <c r="F53" s="195">
        <v>50</v>
      </c>
      <c r="G53" s="184">
        <v>58</v>
      </c>
      <c r="H53" s="186">
        <v>8</v>
      </c>
      <c r="I53" s="217"/>
      <c r="J53" s="19"/>
      <c r="K53" s="85"/>
      <c r="L53" s="80"/>
      <c r="M53" s="80"/>
      <c r="N53" s="80" t="s">
        <v>9</v>
      </c>
      <c r="O53" s="78"/>
      <c r="P53" s="84">
        <f>P52+L$20</f>
        <v>9491.6473958333336</v>
      </c>
      <c r="Y53" s="15"/>
      <c r="Z53" s="15"/>
      <c r="AA53" s="15"/>
      <c r="AB53" s="15"/>
      <c r="AC53" s="15"/>
      <c r="AD53" s="5"/>
      <c r="AE53" s="5"/>
      <c r="AF53" s="5"/>
      <c r="AG53" s="5"/>
      <c r="AJ53" s="2"/>
      <c r="AK53" s="2"/>
      <c r="AL53" s="2"/>
    </row>
    <row r="54" spans="3:38" x14ac:dyDescent="0.2">
      <c r="E54" s="180" t="s">
        <v>175</v>
      </c>
      <c r="F54" s="195">
        <v>45</v>
      </c>
      <c r="G54" s="184">
        <v>59</v>
      </c>
      <c r="H54" s="186">
        <v>14</v>
      </c>
      <c r="I54" s="217"/>
      <c r="J54" s="19"/>
      <c r="K54" s="85"/>
      <c r="L54" s="80"/>
      <c r="M54" s="72" t="s">
        <v>5</v>
      </c>
      <c r="N54" s="72" t="s">
        <v>6</v>
      </c>
      <c r="O54" s="73"/>
      <c r="P54" s="86">
        <f>L11+P11</f>
        <v>8655.1989583333343</v>
      </c>
      <c r="Y54" s="15"/>
      <c r="Z54" s="15"/>
      <c r="AA54" s="15"/>
      <c r="AB54" s="15"/>
      <c r="AC54" s="15"/>
      <c r="AD54" s="5"/>
      <c r="AE54" s="5"/>
      <c r="AF54" s="5"/>
      <c r="AG54" s="5"/>
      <c r="AJ54" s="2"/>
      <c r="AK54" s="2"/>
      <c r="AL54" s="2"/>
    </row>
    <row r="55" spans="3:38" x14ac:dyDescent="0.2">
      <c r="E55" s="180" t="s">
        <v>176</v>
      </c>
      <c r="F55" s="195">
        <v>32</v>
      </c>
      <c r="G55" s="184">
        <v>44</v>
      </c>
      <c r="H55" s="186">
        <v>12</v>
      </c>
      <c r="I55" s="217"/>
      <c r="J55" s="19"/>
      <c r="K55" s="85"/>
      <c r="L55" s="80"/>
      <c r="M55" s="80"/>
      <c r="N55" s="80" t="s">
        <v>7</v>
      </c>
      <c r="O55" s="78"/>
      <c r="P55" s="84">
        <f>P54+L$20</f>
        <v>10625.232958333334</v>
      </c>
      <c r="Y55" s="15"/>
      <c r="Z55" s="15"/>
      <c r="AA55" s="15"/>
      <c r="AB55" s="15"/>
      <c r="AC55" s="15"/>
      <c r="AD55" s="5"/>
      <c r="AE55" s="5"/>
      <c r="AF55" s="5"/>
      <c r="AG55" s="5"/>
      <c r="AJ55" s="2"/>
      <c r="AK55" s="2"/>
      <c r="AL55" s="2"/>
    </row>
    <row r="56" spans="3:38" x14ac:dyDescent="0.2">
      <c r="E56" s="180" t="s">
        <v>177</v>
      </c>
      <c r="F56" s="195">
        <v>17</v>
      </c>
      <c r="G56" s="184">
        <v>30</v>
      </c>
      <c r="H56" s="186">
        <v>13</v>
      </c>
      <c r="I56" s="217"/>
      <c r="J56" s="19"/>
      <c r="K56" s="85"/>
      <c r="L56" s="80"/>
      <c r="M56" s="80"/>
      <c r="N56" s="80" t="s">
        <v>8</v>
      </c>
      <c r="O56" s="78"/>
      <c r="P56" s="84">
        <f>L11+Q11</f>
        <v>9397.1989583333343</v>
      </c>
      <c r="Y56" s="15"/>
      <c r="Z56" s="15"/>
      <c r="AA56" s="15"/>
      <c r="AB56" s="15"/>
      <c r="AC56" s="15"/>
      <c r="AD56" s="19"/>
      <c r="AE56" s="19"/>
      <c r="AF56" s="19"/>
      <c r="AG56" s="19"/>
      <c r="AJ56" s="2"/>
      <c r="AK56" s="2"/>
      <c r="AL56" s="2"/>
    </row>
    <row r="57" spans="3:38" x14ac:dyDescent="0.2">
      <c r="E57" s="180" t="s">
        <v>179</v>
      </c>
      <c r="F57" s="195">
        <f>(SUM(F53:F56))/4</f>
        <v>36</v>
      </c>
      <c r="G57" s="184">
        <f>(SUM(G53:G56))/4</f>
        <v>47.75</v>
      </c>
      <c r="H57" s="185">
        <f>(SUM(H53:H56))/4</f>
        <v>11.75</v>
      </c>
      <c r="I57" s="216"/>
      <c r="J57" s="19"/>
      <c r="K57" s="85"/>
      <c r="L57" s="80"/>
      <c r="M57" s="80"/>
      <c r="N57" s="80" t="s">
        <v>9</v>
      </c>
      <c r="O57" s="78"/>
      <c r="P57" s="84">
        <f>P56+L$20</f>
        <v>11367.232958333334</v>
      </c>
      <c r="Y57" s="44"/>
      <c r="Z57" s="44"/>
      <c r="AA57" s="44"/>
      <c r="AB57" s="44"/>
      <c r="AC57" s="44"/>
      <c r="AE57" s="2"/>
      <c r="AJ57" s="2"/>
      <c r="AK57" s="2"/>
      <c r="AL57" s="2"/>
    </row>
    <row r="58" spans="3:38" x14ac:dyDescent="0.2">
      <c r="E58" s="187" t="s">
        <v>178</v>
      </c>
      <c r="F58" s="182"/>
      <c r="G58" s="178"/>
      <c r="H58" s="188">
        <f>G57/F57-1</f>
        <v>0.32638888888888884</v>
      </c>
      <c r="I58" s="218"/>
      <c r="J58" s="19"/>
      <c r="K58" s="85"/>
      <c r="L58" s="74" t="s">
        <v>13</v>
      </c>
      <c r="M58" s="211" t="s">
        <v>2</v>
      </c>
      <c r="N58" s="211" t="s">
        <v>6</v>
      </c>
      <c r="O58" s="212"/>
      <c r="P58" s="213">
        <f>L12+P12</f>
        <v>4610.3283333333329</v>
      </c>
      <c r="AA58" s="2"/>
      <c r="AJ58" s="2"/>
      <c r="AK58" s="2"/>
      <c r="AL58" s="2"/>
    </row>
    <row r="59" spans="3:38" x14ac:dyDescent="0.2">
      <c r="C59" s="179"/>
      <c r="G59" s="15"/>
      <c r="H59" s="19"/>
      <c r="I59" s="19"/>
      <c r="J59" s="19"/>
      <c r="K59" s="85"/>
      <c r="L59" s="80"/>
      <c r="M59" s="208"/>
      <c r="N59" s="208" t="s">
        <v>7</v>
      </c>
      <c r="O59" s="209"/>
      <c r="P59" s="210">
        <f>P58+L$20</f>
        <v>6580.3623333333326</v>
      </c>
    </row>
    <row r="60" spans="3:38" ht="15" x14ac:dyDescent="0.2">
      <c r="E60" s="242" t="s">
        <v>187</v>
      </c>
      <c r="F60" s="243"/>
      <c r="G60" s="243"/>
      <c r="H60" s="244"/>
      <c r="I60" s="1"/>
      <c r="J60" s="19"/>
      <c r="K60" s="85"/>
      <c r="L60" s="80"/>
      <c r="M60" s="208"/>
      <c r="N60" s="208" t="s">
        <v>8</v>
      </c>
      <c r="O60" s="209"/>
      <c r="P60" s="210">
        <f>L12+Q12</f>
        <v>5004.3283333333329</v>
      </c>
    </row>
    <row r="61" spans="3:38" ht="15" x14ac:dyDescent="0.2">
      <c r="E61" s="181" t="s">
        <v>181</v>
      </c>
      <c r="F61" s="183">
        <v>2024</v>
      </c>
      <c r="G61" s="227" t="s">
        <v>186</v>
      </c>
      <c r="H61" s="228"/>
      <c r="I61" s="1"/>
      <c r="J61" s="19"/>
      <c r="K61" s="85"/>
      <c r="L61" s="80"/>
      <c r="M61" s="208"/>
      <c r="N61" s="208" t="s">
        <v>9</v>
      </c>
      <c r="O61" s="209"/>
      <c r="P61" s="210">
        <f>P60+L$20</f>
        <v>6974.3623333333326</v>
      </c>
    </row>
    <row r="62" spans="3:38" x14ac:dyDescent="0.2">
      <c r="E62" s="196" t="s">
        <v>173</v>
      </c>
      <c r="F62" s="197">
        <v>0.33554817275747506</v>
      </c>
      <c r="G62" s="201">
        <v>0.5</v>
      </c>
      <c r="H62" s="199">
        <f>G62-F62</f>
        <v>0.16445182724252494</v>
      </c>
      <c r="I62" s="219"/>
      <c r="J62" s="46"/>
      <c r="K62" s="85"/>
      <c r="L62" s="80"/>
      <c r="M62" s="72" t="s">
        <v>3</v>
      </c>
      <c r="N62" s="72" t="s">
        <v>6</v>
      </c>
      <c r="O62" s="73"/>
      <c r="P62" s="86">
        <f>L13+P13</f>
        <v>6602.2593333333343</v>
      </c>
    </row>
    <row r="63" spans="3:38" x14ac:dyDescent="0.2">
      <c r="E63" s="180" t="s">
        <v>174</v>
      </c>
      <c r="F63" s="198">
        <v>0.32088285229202035</v>
      </c>
      <c r="G63" s="200">
        <v>0.46</v>
      </c>
      <c r="H63" s="199">
        <f t="shared" ref="H63:H66" si="11">G63-F63</f>
        <v>0.13911714770797967</v>
      </c>
      <c r="I63" s="219"/>
      <c r="J63" s="47"/>
      <c r="K63" s="85"/>
      <c r="L63" s="80"/>
      <c r="M63" s="80"/>
      <c r="N63" s="80" t="s">
        <v>7</v>
      </c>
      <c r="O63" s="78"/>
      <c r="P63" s="84">
        <f>P62+L$20</f>
        <v>8572.2933333333331</v>
      </c>
    </row>
    <row r="64" spans="3:38" x14ac:dyDescent="0.2">
      <c r="E64" s="180" t="s">
        <v>175</v>
      </c>
      <c r="F64" s="198">
        <v>0.33333333333333331</v>
      </c>
      <c r="G64" s="200">
        <v>0.51</v>
      </c>
      <c r="H64" s="199">
        <f t="shared" si="11"/>
        <v>0.17666666666666669</v>
      </c>
      <c r="I64" s="219"/>
      <c r="J64" s="46"/>
      <c r="K64" s="85"/>
      <c r="L64" s="80"/>
      <c r="M64" s="80"/>
      <c r="N64" s="80" t="s">
        <v>8</v>
      </c>
      <c r="O64" s="78"/>
      <c r="P64" s="84">
        <f>L13+Q13</f>
        <v>7132.2593333333352</v>
      </c>
    </row>
    <row r="65" spans="5:16" x14ac:dyDescent="0.2">
      <c r="E65" s="180" t="s">
        <v>176</v>
      </c>
      <c r="F65" s="198">
        <v>0.27111111111111114</v>
      </c>
      <c r="G65" s="200">
        <v>0.37</v>
      </c>
      <c r="H65" s="199">
        <f t="shared" si="11"/>
        <v>9.888888888888886E-2</v>
      </c>
      <c r="I65" s="219"/>
      <c r="K65" s="85"/>
      <c r="L65" s="80"/>
      <c r="M65" s="80"/>
      <c r="N65" s="80" t="s">
        <v>9</v>
      </c>
      <c r="O65" s="78"/>
      <c r="P65" s="84">
        <f>P64+L$20</f>
        <v>9102.2933333333349</v>
      </c>
    </row>
    <row r="66" spans="5:16" x14ac:dyDescent="0.2">
      <c r="E66" s="180" t="s">
        <v>177</v>
      </c>
      <c r="F66" s="198">
        <v>0.16874480465502908</v>
      </c>
      <c r="G66" s="200">
        <v>0.19</v>
      </c>
      <c r="H66" s="199">
        <f t="shared" si="11"/>
        <v>2.1255195344970917E-2</v>
      </c>
      <c r="I66" s="219"/>
      <c r="K66" s="85"/>
      <c r="L66" s="80"/>
      <c r="M66" s="72" t="s">
        <v>4</v>
      </c>
      <c r="N66" s="72" t="s">
        <v>6</v>
      </c>
      <c r="O66" s="73"/>
      <c r="P66" s="86">
        <f>L14+P14</f>
        <v>9130.3561666666683</v>
      </c>
    </row>
    <row r="67" spans="5:16" x14ac:dyDescent="0.2">
      <c r="E67" s="180" t="s">
        <v>179</v>
      </c>
      <c r="F67" s="198">
        <f>(SUM(F63:F66))/4</f>
        <v>0.27351802534787345</v>
      </c>
      <c r="G67" s="200">
        <f>(SUM(G63:G66))/4</f>
        <v>0.38249999999999995</v>
      </c>
      <c r="H67" s="199">
        <f>(SUM(H63:H66))/4</f>
        <v>0.10898197465212653</v>
      </c>
      <c r="I67" s="219"/>
      <c r="K67" s="85"/>
      <c r="L67" s="80"/>
      <c r="M67" s="80"/>
      <c r="N67" s="80" t="s">
        <v>7</v>
      </c>
      <c r="O67" s="78"/>
      <c r="P67" s="84">
        <f>P66+L$20</f>
        <v>11100.390166666668</v>
      </c>
    </row>
    <row r="68" spans="5:16" x14ac:dyDescent="0.2">
      <c r="E68" s="187" t="s">
        <v>178</v>
      </c>
      <c r="F68" s="182"/>
      <c r="G68" s="178"/>
      <c r="H68" s="188">
        <f>G67/F67-1</f>
        <v>0.39844531092061652</v>
      </c>
      <c r="I68" s="218"/>
      <c r="K68" s="85"/>
      <c r="L68" s="80"/>
      <c r="M68" s="80"/>
      <c r="N68" s="80" t="s">
        <v>8</v>
      </c>
      <c r="O68" s="78"/>
      <c r="P68" s="84">
        <f>L14+Q14</f>
        <v>9792.3561666666683</v>
      </c>
    </row>
    <row r="69" spans="5:16" x14ac:dyDescent="0.2">
      <c r="F69" s="204"/>
      <c r="G69" s="204"/>
      <c r="H69" s="204"/>
      <c r="I69" s="204"/>
      <c r="K69" s="85"/>
      <c r="L69" s="80"/>
      <c r="M69" s="80"/>
      <c r="N69" s="80" t="s">
        <v>9</v>
      </c>
      <c r="O69" s="78"/>
      <c r="P69" s="84">
        <f>P68+L$20</f>
        <v>11762.390166666668</v>
      </c>
    </row>
    <row r="70" spans="5:16" ht="15" x14ac:dyDescent="0.2">
      <c r="E70" s="229" t="s">
        <v>188</v>
      </c>
      <c r="F70" s="230"/>
      <c r="G70" s="230"/>
      <c r="H70" s="231"/>
      <c r="I70" s="220"/>
      <c r="K70" s="85"/>
      <c r="L70" s="80"/>
      <c r="M70" s="72" t="s">
        <v>5</v>
      </c>
      <c r="N70" s="72" t="s">
        <v>6</v>
      </c>
      <c r="O70" s="73"/>
      <c r="P70" s="86">
        <f>L15+P15</f>
        <v>10242.694791666667</v>
      </c>
    </row>
    <row r="71" spans="5:16" x14ac:dyDescent="0.2">
      <c r="E71" s="169">
        <v>2023</v>
      </c>
      <c r="F71" s="206">
        <v>0.26304444774788166</v>
      </c>
      <c r="G71" s="206">
        <v>0.3790439522322977</v>
      </c>
      <c r="H71" s="199">
        <f>G71-F71</f>
        <v>0.11599950448441604</v>
      </c>
      <c r="I71" s="219"/>
      <c r="K71" s="85"/>
      <c r="L71" s="80"/>
      <c r="M71" s="80"/>
      <c r="N71" s="80" t="s">
        <v>7</v>
      </c>
      <c r="O71" s="78"/>
      <c r="P71" s="84">
        <f>P70+L$20</f>
        <v>12212.728791666666</v>
      </c>
    </row>
    <row r="72" spans="5:16" x14ac:dyDescent="0.2">
      <c r="E72" s="150">
        <v>2024</v>
      </c>
      <c r="F72" s="207">
        <v>0.27073418116563941</v>
      </c>
      <c r="G72" s="207">
        <v>0.38991521676939478</v>
      </c>
      <c r="H72" s="205">
        <f>G72-F72</f>
        <v>0.11918103560375537</v>
      </c>
      <c r="I72" s="219"/>
      <c r="K72" s="85"/>
      <c r="L72" s="80"/>
      <c r="M72" s="80"/>
      <c r="N72" s="80" t="s">
        <v>8</v>
      </c>
      <c r="O72" s="78"/>
      <c r="P72" s="84">
        <f>L15+Q15</f>
        <v>12994.028125000001</v>
      </c>
    </row>
    <row r="73" spans="5:16" ht="15" thickBot="1" x14ac:dyDescent="0.25">
      <c r="K73" s="88"/>
      <c r="L73" s="89"/>
      <c r="M73" s="89"/>
      <c r="N73" s="89" t="s">
        <v>9</v>
      </c>
      <c r="O73" s="90"/>
      <c r="P73" s="91">
        <f>P72+L$20</f>
        <v>14964.062125</v>
      </c>
    </row>
    <row r="74" spans="5:16" ht="15" thickTop="1" x14ac:dyDescent="0.2"/>
  </sheetData>
  <mergeCells count="23">
    <mergeCell ref="AD42:AG42"/>
    <mergeCell ref="AH19:AK19"/>
    <mergeCell ref="P1:Q1"/>
    <mergeCell ref="S3:T3"/>
    <mergeCell ref="S4:T4"/>
    <mergeCell ref="T19:U19"/>
    <mergeCell ref="V19:W19"/>
    <mergeCell ref="S5:T5"/>
    <mergeCell ref="S6:T6"/>
    <mergeCell ref="S7:T7"/>
    <mergeCell ref="S8:T8"/>
    <mergeCell ref="Z19:AC19"/>
    <mergeCell ref="AD19:AG19"/>
    <mergeCell ref="G61:H61"/>
    <mergeCell ref="E70:H70"/>
    <mergeCell ref="K1:L1"/>
    <mergeCell ref="M1:N1"/>
    <mergeCell ref="K17:L18"/>
    <mergeCell ref="M17:N18"/>
    <mergeCell ref="E60:H60"/>
    <mergeCell ref="K25:N25"/>
    <mergeCell ref="E50:H50"/>
    <mergeCell ref="G51:H51"/>
  </mergeCells>
  <phoneticPr fontId="3" type="noConversion"/>
  <pageMargins left="0.7" right="0.7" top="0.75" bottom="0.75" header="0.3" footer="0.3"/>
  <pageSetup orientation="portrait" r:id="rId1"/>
  <ignoredErrors>
    <ignoredError sqref="P28 P30:P42 P44:P72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881C-B44B-47AC-A1CB-470A778C6562}">
  <dimension ref="B1:AJ74"/>
  <sheetViews>
    <sheetView tabSelected="1" topLeftCell="A5" zoomScale="110" zoomScaleNormal="110" workbookViewId="0">
      <selection activeCell="AA36" sqref="AA36"/>
    </sheetView>
  </sheetViews>
  <sheetFormatPr baseColWidth="10" defaultColWidth="9.1640625" defaultRowHeight="14" x14ac:dyDescent="0.2"/>
  <cols>
    <col min="1" max="3" width="9.1640625" style="13"/>
    <col min="4" max="4" width="37.5" style="13" customWidth="1"/>
    <col min="5" max="5" width="12.1640625" style="2" customWidth="1"/>
    <col min="6" max="6" width="11" style="2" customWidth="1"/>
    <col min="7" max="7" width="10.6640625" style="2" customWidth="1"/>
    <col min="8" max="8" width="12.83203125" style="2" customWidth="1"/>
    <col min="9" max="9" width="3.1640625" style="2" customWidth="1"/>
    <col min="10" max="13" width="14.6640625" style="2" customWidth="1"/>
    <col min="14" max="14" width="3.1640625" style="2" customWidth="1"/>
    <col min="15" max="16" width="15.6640625" style="13" customWidth="1"/>
    <col min="17" max="17" width="4.33203125" style="2" customWidth="1"/>
    <col min="18" max="18" width="15.6640625" style="13" customWidth="1"/>
    <col min="19" max="22" width="16.6640625" style="13" customWidth="1"/>
    <col min="23" max="23" width="4.5" style="2" customWidth="1"/>
    <col min="24" max="24" width="19.1640625" style="2" customWidth="1"/>
    <col min="25" max="25" width="8.6640625" style="2" customWidth="1"/>
    <col min="26" max="26" width="8.6640625" style="13" customWidth="1"/>
    <col min="27" max="29" width="8.6640625" style="2" customWidth="1"/>
    <col min="30" max="30" width="8.6640625" style="13" customWidth="1"/>
    <col min="31" max="33" width="8.6640625" style="2" customWidth="1"/>
    <col min="34" max="36" width="8.6640625" style="13" customWidth="1"/>
    <col min="37" max="16384" width="9.1640625" style="13"/>
  </cols>
  <sheetData>
    <row r="1" spans="2:19" ht="33" customHeight="1" x14ac:dyDescent="0.2">
      <c r="B1" s="170" t="s">
        <v>10</v>
      </c>
      <c r="C1" s="171" t="s">
        <v>11</v>
      </c>
      <c r="D1" s="171" t="s">
        <v>22</v>
      </c>
      <c r="E1" s="171" t="s">
        <v>25</v>
      </c>
      <c r="F1" s="171" t="s">
        <v>23</v>
      </c>
      <c r="G1" s="171" t="s">
        <v>24</v>
      </c>
      <c r="H1" s="172" t="s">
        <v>57</v>
      </c>
      <c r="I1" s="53"/>
      <c r="J1" s="232" t="s">
        <v>56</v>
      </c>
      <c r="K1" s="233"/>
      <c r="L1" s="234" t="s">
        <v>70</v>
      </c>
      <c r="M1" s="235"/>
      <c r="O1" s="250" t="s">
        <v>61</v>
      </c>
      <c r="P1" s="251"/>
    </row>
    <row r="2" spans="2:19" ht="15" x14ac:dyDescent="0.2">
      <c r="B2" s="22"/>
      <c r="C2" s="15"/>
      <c r="D2" s="15"/>
      <c r="E2" s="15"/>
      <c r="F2" s="15"/>
      <c r="G2" s="15"/>
      <c r="H2" s="23"/>
      <c r="I2" s="53"/>
      <c r="J2" s="147" t="s">
        <v>62</v>
      </c>
      <c r="K2" s="62">
        <v>0.26</v>
      </c>
      <c r="L2" s="102" t="s">
        <v>62</v>
      </c>
      <c r="M2" s="103">
        <v>0.25</v>
      </c>
      <c r="O2" s="148" t="s">
        <v>60</v>
      </c>
      <c r="P2" s="149" t="s">
        <v>59</v>
      </c>
    </row>
    <row r="3" spans="2:19" ht="16" x14ac:dyDescent="0.2">
      <c r="B3" s="22"/>
      <c r="C3" s="15"/>
      <c r="D3" s="15"/>
      <c r="E3" s="15"/>
      <c r="F3" s="15"/>
      <c r="G3" s="15"/>
      <c r="H3" s="23"/>
      <c r="I3" s="53"/>
      <c r="J3" s="189" t="s">
        <v>183</v>
      </c>
      <c r="K3" s="190" t="s">
        <v>184</v>
      </c>
      <c r="L3" s="191" t="s">
        <v>183</v>
      </c>
      <c r="M3" s="192" t="s">
        <v>184</v>
      </c>
      <c r="O3" s="24"/>
      <c r="P3" s="48"/>
      <c r="R3" s="252" t="s">
        <v>68</v>
      </c>
      <c r="S3" s="253"/>
    </row>
    <row r="4" spans="2:19" ht="15" x14ac:dyDescent="0.2">
      <c r="B4" s="24" t="s">
        <v>21</v>
      </c>
      <c r="C4" s="13" t="s">
        <v>17</v>
      </c>
      <c r="D4" s="13" t="s">
        <v>63</v>
      </c>
      <c r="E4" s="68">
        <v>120</v>
      </c>
      <c r="F4" s="2">
        <v>1990</v>
      </c>
      <c r="G4" s="68">
        <v>55</v>
      </c>
      <c r="H4" s="25">
        <f>E4*G4</f>
        <v>6600</v>
      </c>
      <c r="J4" s="26">
        <f t="shared" ref="J4:J15" si="0">H4/100*T$33</f>
        <v>5712.6437500000002</v>
      </c>
      <c r="K4" s="27">
        <f t="shared" ref="K4:K15" si="1">H4/100*T$33*K$2</f>
        <v>1485.2873750000001</v>
      </c>
      <c r="L4" s="95">
        <f t="shared" ref="L4:L15" si="2">H4/100*V$33</f>
        <v>4211.5562499999996</v>
      </c>
      <c r="M4" s="104">
        <f t="shared" ref="M4:M15" si="3">H4/100*V$33*M$2</f>
        <v>1052.8890624999999</v>
      </c>
      <c r="O4" s="49">
        <f>$Y33*$Y$35*12*((60-$Y$36)/60)</f>
        <v>690.66666666666674</v>
      </c>
      <c r="P4" s="50">
        <f>$Y33*$Y$35*12*((60-$Y$37)/60)</f>
        <v>897.8666666666669</v>
      </c>
      <c r="R4" s="254" t="s">
        <v>69</v>
      </c>
      <c r="S4" s="255"/>
    </row>
    <row r="5" spans="2:19" ht="15" x14ac:dyDescent="0.2">
      <c r="B5" s="24"/>
      <c r="C5" s="13" t="s">
        <v>18</v>
      </c>
      <c r="D5" s="13" t="s">
        <v>64</v>
      </c>
      <c r="E5" s="68">
        <v>160</v>
      </c>
      <c r="F5" s="2">
        <v>2010</v>
      </c>
      <c r="G5" s="68">
        <v>55</v>
      </c>
      <c r="H5" s="25">
        <f t="shared" ref="H5:H15" si="4">E5*G5</f>
        <v>8800</v>
      </c>
      <c r="J5" s="26">
        <f t="shared" si="0"/>
        <v>7616.8583333333336</v>
      </c>
      <c r="K5" s="27">
        <f t="shared" si="1"/>
        <v>1980.3831666666667</v>
      </c>
      <c r="L5" s="95">
        <f t="shared" si="2"/>
        <v>5615.4083333333328</v>
      </c>
      <c r="M5" s="104">
        <f t="shared" si="3"/>
        <v>1403.8520833333332</v>
      </c>
      <c r="O5" s="49">
        <f>Z33*Y$35*12*((60-Y$36)/60)</f>
        <v>1022</v>
      </c>
      <c r="P5" s="50">
        <f>$Z33*$Y$35*12*((60-$Y$37)/60)</f>
        <v>1328.6000000000001</v>
      </c>
      <c r="R5" s="260"/>
      <c r="S5" s="261"/>
    </row>
    <row r="6" spans="2:19" ht="15" x14ac:dyDescent="0.2">
      <c r="B6" s="24"/>
      <c r="C6" s="13" t="s">
        <v>19</v>
      </c>
      <c r="D6" s="13" t="s">
        <v>65</v>
      </c>
      <c r="E6" s="68">
        <v>210</v>
      </c>
      <c r="F6" s="2">
        <v>1960</v>
      </c>
      <c r="G6" s="68">
        <v>60</v>
      </c>
      <c r="H6" s="25">
        <f t="shared" si="4"/>
        <v>12600</v>
      </c>
      <c r="J6" s="26">
        <f t="shared" si="0"/>
        <v>10905.956250000001</v>
      </c>
      <c r="K6" s="27">
        <f t="shared" si="1"/>
        <v>2835.5486250000004</v>
      </c>
      <c r="L6" s="95">
        <f t="shared" si="2"/>
        <v>8040.2437499999996</v>
      </c>
      <c r="M6" s="104">
        <f t="shared" si="3"/>
        <v>2010.0609374999999</v>
      </c>
      <c r="O6" s="49">
        <f>AA33*Y$35*12*((60-Y$36)/60)</f>
        <v>1194.6666666666665</v>
      </c>
      <c r="P6" s="50">
        <f>$AA33*$Y$35*12*((60-$Y$37)/60)</f>
        <v>1553.0666666666666</v>
      </c>
      <c r="R6" s="262"/>
      <c r="S6" s="263"/>
    </row>
    <row r="7" spans="2:19" ht="15" x14ac:dyDescent="0.2">
      <c r="B7" s="24"/>
      <c r="C7" s="13" t="s">
        <v>20</v>
      </c>
      <c r="D7" s="13" t="s">
        <v>66</v>
      </c>
      <c r="E7" s="68">
        <v>250</v>
      </c>
      <c r="F7" s="2">
        <v>1970</v>
      </c>
      <c r="G7" s="68">
        <v>70</v>
      </c>
      <c r="H7" s="25">
        <f t="shared" si="4"/>
        <v>17500</v>
      </c>
      <c r="J7" s="26">
        <f t="shared" si="0"/>
        <v>15147.161458333334</v>
      </c>
      <c r="K7" s="27">
        <f t="shared" si="1"/>
        <v>3938.2619791666671</v>
      </c>
      <c r="L7" s="95">
        <f t="shared" si="2"/>
        <v>11167.005208333332</v>
      </c>
      <c r="M7" s="104">
        <f t="shared" si="3"/>
        <v>2791.751302083333</v>
      </c>
      <c r="O7" s="49">
        <f>AB33*Y$35*12*((60-Y$36)/60)</f>
        <v>1712.6666666666665</v>
      </c>
      <c r="P7" s="50">
        <f>$AB33*$Y$35*12*((60-$Y$37)/60)</f>
        <v>2226.4666666666667</v>
      </c>
      <c r="R7" s="264"/>
      <c r="S7" s="265"/>
    </row>
    <row r="8" spans="2:19" ht="15" x14ac:dyDescent="0.2">
      <c r="B8" s="54" t="s">
        <v>12</v>
      </c>
      <c r="C8" s="55" t="s">
        <v>17</v>
      </c>
      <c r="D8" s="55"/>
      <c r="E8" s="69">
        <v>120</v>
      </c>
      <c r="F8" s="56"/>
      <c r="G8" s="69">
        <v>75</v>
      </c>
      <c r="H8" s="57">
        <f t="shared" si="4"/>
        <v>9000</v>
      </c>
      <c r="I8" s="56"/>
      <c r="J8" s="58">
        <f t="shared" si="0"/>
        <v>7789.9687500000009</v>
      </c>
      <c r="K8" s="59">
        <f t="shared" si="1"/>
        <v>2025.3918750000003</v>
      </c>
      <c r="L8" s="105">
        <f t="shared" si="2"/>
        <v>5743.0312499999991</v>
      </c>
      <c r="M8" s="106">
        <f t="shared" si="3"/>
        <v>1435.7578124999998</v>
      </c>
      <c r="N8" s="56"/>
      <c r="O8" s="60">
        <f>$AC33*$Y$35*12*((60-$Y$36)/60)</f>
        <v>849.33333333333326</v>
      </c>
      <c r="P8" s="61">
        <f>$AC33*$Y$35*12*((60-$Y$37)/60)</f>
        <v>1104.1333333333334</v>
      </c>
      <c r="R8" s="266"/>
      <c r="S8" s="267"/>
    </row>
    <row r="9" spans="2:19" x14ac:dyDescent="0.2">
      <c r="B9" s="24"/>
      <c r="C9" s="13" t="s">
        <v>18</v>
      </c>
      <c r="E9" s="68">
        <v>160</v>
      </c>
      <c r="G9" s="68">
        <v>70</v>
      </c>
      <c r="H9" s="25">
        <f t="shared" si="4"/>
        <v>11200</v>
      </c>
      <c r="J9" s="26">
        <f t="shared" si="0"/>
        <v>9694.1833333333343</v>
      </c>
      <c r="K9" s="27">
        <f t="shared" si="1"/>
        <v>2520.4876666666669</v>
      </c>
      <c r="L9" s="95">
        <f t="shared" si="2"/>
        <v>7146.8833333333323</v>
      </c>
      <c r="M9" s="104">
        <f t="shared" si="3"/>
        <v>1786.7208333333331</v>
      </c>
      <c r="O9" s="49">
        <f>$AD33*$Y$35*12*((60-$Y$36)/60)</f>
        <v>1152.6666666666665</v>
      </c>
      <c r="P9" s="50">
        <f>$AD33*$Y$35*12*((60-$Y$37)/60)</f>
        <v>1498.4666666666665</v>
      </c>
    </row>
    <row r="10" spans="2:19" x14ac:dyDescent="0.2">
      <c r="B10" s="24"/>
      <c r="C10" s="13" t="s">
        <v>19</v>
      </c>
      <c r="E10" s="68">
        <v>210</v>
      </c>
      <c r="G10" s="68">
        <v>85</v>
      </c>
      <c r="H10" s="25">
        <f t="shared" si="4"/>
        <v>17850</v>
      </c>
      <c r="J10" s="26">
        <f t="shared" si="0"/>
        <v>15450.104687500001</v>
      </c>
      <c r="K10" s="27">
        <f t="shared" si="1"/>
        <v>4017.0272187500004</v>
      </c>
      <c r="L10" s="95">
        <f t="shared" si="2"/>
        <v>11390.3453125</v>
      </c>
      <c r="M10" s="104">
        <f t="shared" si="3"/>
        <v>2847.5863281249999</v>
      </c>
      <c r="O10" s="49">
        <f>$AE33*$Y$35*12*((60-$Y$36)/60)</f>
        <v>1409.3333333333333</v>
      </c>
      <c r="P10" s="50">
        <f>$AE33*$Y$35*12*((60-$Y$37)/60)</f>
        <v>1832.1333333333334</v>
      </c>
    </row>
    <row r="11" spans="2:19" x14ac:dyDescent="0.2">
      <c r="B11" s="24"/>
      <c r="C11" s="13" t="s">
        <v>20</v>
      </c>
      <c r="E11" s="68">
        <v>250</v>
      </c>
      <c r="G11" s="68">
        <v>90</v>
      </c>
      <c r="H11" s="25">
        <f t="shared" si="4"/>
        <v>22500</v>
      </c>
      <c r="J11" s="26">
        <f t="shared" si="0"/>
        <v>19474.921875</v>
      </c>
      <c r="K11" s="27">
        <f t="shared" si="1"/>
        <v>5063.4796875000002</v>
      </c>
      <c r="L11" s="95">
        <f t="shared" si="2"/>
        <v>14357.578124999998</v>
      </c>
      <c r="M11" s="104">
        <f t="shared" si="3"/>
        <v>3589.3945312499995</v>
      </c>
      <c r="O11" s="49">
        <f>$AF33*$Y$35*12*((60-$Y$36)/60)</f>
        <v>1731.3333333333333</v>
      </c>
      <c r="P11" s="50">
        <f>$AF33*$Y$35*12*((60-$Y$37)/60)</f>
        <v>2250.7333333333336</v>
      </c>
    </row>
    <row r="12" spans="2:19" x14ac:dyDescent="0.2">
      <c r="B12" s="54" t="s">
        <v>13</v>
      </c>
      <c r="C12" s="55" t="s">
        <v>17</v>
      </c>
      <c r="D12" s="55"/>
      <c r="E12" s="69">
        <v>120</v>
      </c>
      <c r="F12" s="56"/>
      <c r="G12" s="69">
        <v>100</v>
      </c>
      <c r="H12" s="57">
        <f t="shared" si="4"/>
        <v>12000</v>
      </c>
      <c r="I12" s="56"/>
      <c r="J12" s="58">
        <f t="shared" si="0"/>
        <v>10386.625</v>
      </c>
      <c r="K12" s="59">
        <f t="shared" si="1"/>
        <v>2700.5225</v>
      </c>
      <c r="L12" s="105">
        <f t="shared" si="2"/>
        <v>7657.3749999999991</v>
      </c>
      <c r="M12" s="106">
        <f t="shared" si="3"/>
        <v>1914.3437499999998</v>
      </c>
      <c r="N12" s="56"/>
      <c r="O12" s="60">
        <f>$AG33*$Y$35*12*((60-$Y$36)/60)</f>
        <v>919.33333333333326</v>
      </c>
      <c r="P12" s="61">
        <f>$AG33*$Y$35*12*((60-$Y$37)/60)</f>
        <v>1195.1333333333334</v>
      </c>
    </row>
    <row r="13" spans="2:19" x14ac:dyDescent="0.2">
      <c r="B13" s="24"/>
      <c r="C13" s="13" t="s">
        <v>18</v>
      </c>
      <c r="E13" s="68">
        <v>160</v>
      </c>
      <c r="G13" s="68">
        <v>110</v>
      </c>
      <c r="H13" s="25">
        <f t="shared" si="4"/>
        <v>17600</v>
      </c>
      <c r="J13" s="26">
        <f t="shared" si="0"/>
        <v>15233.716666666667</v>
      </c>
      <c r="K13" s="27">
        <f t="shared" si="1"/>
        <v>3960.7663333333335</v>
      </c>
      <c r="L13" s="95">
        <f t="shared" si="2"/>
        <v>11230.816666666666</v>
      </c>
      <c r="M13" s="104">
        <f t="shared" si="3"/>
        <v>2807.7041666666664</v>
      </c>
      <c r="O13" s="49">
        <f>$AH33*$Y$35*12*((60-$Y$36)/60)</f>
        <v>1236.666666666667</v>
      </c>
      <c r="P13" s="50">
        <f>$AH33*$Y$35*12*((60-$Y$37)/60)</f>
        <v>1607.6666666666672</v>
      </c>
    </row>
    <row r="14" spans="2:19" x14ac:dyDescent="0.2">
      <c r="B14" s="24"/>
      <c r="C14" s="13" t="s">
        <v>19</v>
      </c>
      <c r="E14" s="68">
        <v>210</v>
      </c>
      <c r="G14" s="68">
        <v>120</v>
      </c>
      <c r="H14" s="25">
        <f t="shared" si="4"/>
        <v>25200</v>
      </c>
      <c r="J14" s="26">
        <f t="shared" si="0"/>
        <v>21811.912500000002</v>
      </c>
      <c r="K14" s="27">
        <f t="shared" si="1"/>
        <v>5671.0972500000007</v>
      </c>
      <c r="L14" s="95">
        <f t="shared" si="2"/>
        <v>16080.487499999999</v>
      </c>
      <c r="M14" s="104">
        <f t="shared" si="3"/>
        <v>4020.1218749999998</v>
      </c>
      <c r="O14" s="49">
        <f>$AI33*$Y$35*12*((60-$Y$36)/60)</f>
        <v>1544.6666666666672</v>
      </c>
      <c r="P14" s="50">
        <f>$AI33*$Y$35*12*((60-$Y$37)/60)</f>
        <v>2008.0666666666675</v>
      </c>
    </row>
    <row r="15" spans="2:19" x14ac:dyDescent="0.2">
      <c r="B15" s="28"/>
      <c r="C15" s="29" t="s">
        <v>20</v>
      </c>
      <c r="D15" s="29"/>
      <c r="E15" s="70">
        <v>250</v>
      </c>
      <c r="F15" s="21"/>
      <c r="G15" s="70">
        <v>130</v>
      </c>
      <c r="H15" s="30">
        <f t="shared" si="4"/>
        <v>32500</v>
      </c>
      <c r="J15" s="31">
        <f t="shared" si="0"/>
        <v>28130.442708333336</v>
      </c>
      <c r="K15" s="32">
        <f t="shared" si="1"/>
        <v>7313.9151041666673</v>
      </c>
      <c r="L15" s="100">
        <f t="shared" si="2"/>
        <v>20738.723958333332</v>
      </c>
      <c r="M15" s="107">
        <f t="shared" si="3"/>
        <v>5184.680989583333</v>
      </c>
      <c r="O15" s="51">
        <f>$AG33*$Y$35*12*((60-$Y$36)/60)</f>
        <v>919.33333333333326</v>
      </c>
      <c r="P15" s="52">
        <f>$AJ33*$Y$35*12*((60-$Y$37)/60)</f>
        <v>2845.2666666666673</v>
      </c>
    </row>
    <row r="16" spans="2:19" x14ac:dyDescent="0.2">
      <c r="J16" s="26"/>
      <c r="K16" s="27"/>
      <c r="L16" s="95"/>
      <c r="M16" s="108"/>
    </row>
    <row r="17" spans="2:36" ht="13.5" customHeight="1" x14ac:dyDescent="0.2">
      <c r="B17" s="34"/>
      <c r="C17" s="35"/>
      <c r="D17" s="35"/>
      <c r="E17" s="20"/>
      <c r="F17" s="20"/>
      <c r="G17" s="20"/>
      <c r="H17" s="36"/>
      <c r="J17" s="236" t="s">
        <v>185</v>
      </c>
      <c r="K17" s="237"/>
      <c r="L17" s="234" t="s">
        <v>71</v>
      </c>
      <c r="M17" s="235"/>
    </row>
    <row r="18" spans="2:36" x14ac:dyDescent="0.2">
      <c r="B18" s="24"/>
      <c r="H18" s="25"/>
      <c r="J18" s="238"/>
      <c r="K18" s="239"/>
      <c r="L18" s="240"/>
      <c r="M18" s="241"/>
      <c r="O18" s="2"/>
      <c r="Q18" s="13"/>
      <c r="R18" s="2"/>
      <c r="W18" s="13"/>
      <c r="Z18" s="2"/>
      <c r="AA18" s="13"/>
      <c r="AD18" s="2"/>
      <c r="AE18" s="13"/>
      <c r="AH18" s="2"/>
    </row>
    <row r="19" spans="2:36" x14ac:dyDescent="0.2">
      <c r="B19" s="37"/>
      <c r="H19" s="25"/>
      <c r="J19" s="63">
        <v>0.3</v>
      </c>
      <c r="K19" s="64">
        <v>0.46</v>
      </c>
      <c r="L19" s="109">
        <v>0.3</v>
      </c>
      <c r="M19" s="110">
        <v>0.48</v>
      </c>
      <c r="N19" s="38"/>
      <c r="O19" s="38"/>
      <c r="P19" s="38"/>
      <c r="R19" s="151" t="s">
        <v>167</v>
      </c>
      <c r="S19" s="256">
        <v>2023</v>
      </c>
      <c r="T19" s="257"/>
      <c r="U19" s="258">
        <v>2024</v>
      </c>
      <c r="V19" s="259"/>
      <c r="X19" s="161" t="s">
        <v>166</v>
      </c>
      <c r="Y19" s="247" t="s">
        <v>51</v>
      </c>
      <c r="Z19" s="248"/>
      <c r="AA19" s="248"/>
      <c r="AB19" s="249"/>
      <c r="AC19" s="247" t="s">
        <v>52</v>
      </c>
      <c r="AD19" s="248"/>
      <c r="AE19" s="248"/>
      <c r="AF19" s="249"/>
      <c r="AG19" s="247" t="s">
        <v>53</v>
      </c>
      <c r="AH19" s="248"/>
      <c r="AI19" s="248"/>
      <c r="AJ19" s="249"/>
    </row>
    <row r="20" spans="2:36" x14ac:dyDescent="0.2">
      <c r="B20" s="37" t="s">
        <v>26</v>
      </c>
      <c r="C20" s="13" t="s">
        <v>14</v>
      </c>
      <c r="D20" s="13" t="s">
        <v>27</v>
      </c>
      <c r="E20" s="68">
        <v>25</v>
      </c>
      <c r="G20" s="68">
        <v>380</v>
      </c>
      <c r="H20" s="25">
        <f t="shared" ref="H20" si="5">E20*G20</f>
        <v>9500</v>
      </c>
      <c r="J20" s="26">
        <f>H20*J$19*((T$35+T$37)*T$36)/100</f>
        <v>2994.1993125000004</v>
      </c>
      <c r="K20" s="40">
        <f>(H20*K$19*((T$35+T$37)*T$36)/100)-(H20*J$19*((T$35+T$37)*T$36)/100)</f>
        <v>1596.9063000000001</v>
      </c>
      <c r="L20" s="95">
        <f>H20*L$19*((V$35+V$37)*V$36)/100</f>
        <v>2321.6634375000003</v>
      </c>
      <c r="M20" s="96">
        <f>(H20*M$19*((V$35+V$37)*V$36)/100)-(H20*L$19*((V$35+V$37)*V$36)/100)</f>
        <v>1392.9980624999998</v>
      </c>
      <c r="N20" s="39"/>
      <c r="O20" s="39"/>
      <c r="P20" s="39"/>
      <c r="R20" s="152"/>
      <c r="S20" s="153" t="s">
        <v>48</v>
      </c>
      <c r="T20" s="154" t="s">
        <v>49</v>
      </c>
      <c r="U20" s="111" t="s">
        <v>42</v>
      </c>
      <c r="V20" s="112" t="s">
        <v>41</v>
      </c>
      <c r="X20" s="162"/>
      <c r="Y20" s="148" t="s">
        <v>17</v>
      </c>
      <c r="Z20" s="194" t="s">
        <v>18</v>
      </c>
      <c r="AA20" s="194" t="s">
        <v>19</v>
      </c>
      <c r="AB20" s="149" t="s">
        <v>20</v>
      </c>
      <c r="AC20" s="148" t="s">
        <v>17</v>
      </c>
      <c r="AD20" s="194" t="s">
        <v>18</v>
      </c>
      <c r="AE20" s="194" t="s">
        <v>19</v>
      </c>
      <c r="AF20" s="149" t="s">
        <v>20</v>
      </c>
      <c r="AG20" s="148" t="s">
        <v>17</v>
      </c>
      <c r="AH20" s="194" t="s">
        <v>18</v>
      </c>
      <c r="AI20" s="194" t="s">
        <v>19</v>
      </c>
      <c r="AJ20" s="149" t="s">
        <v>20</v>
      </c>
    </row>
    <row r="21" spans="2:36" x14ac:dyDescent="0.2">
      <c r="B21" s="24"/>
      <c r="C21" s="92"/>
      <c r="D21" s="92"/>
      <c r="E21" s="93"/>
      <c r="F21" s="93"/>
      <c r="G21" s="93"/>
      <c r="H21" s="94"/>
      <c r="I21" s="93"/>
      <c r="J21" s="95">
        <f>H21*J$19*((T$35+T$37)*T$36)/100</f>
        <v>0</v>
      </c>
      <c r="K21" s="96">
        <f>(H21*K$19*((T$35+T$37)*T$36)/100)-(H21*J$19*((T$35+T$37)*T$36)/100)</f>
        <v>0</v>
      </c>
      <c r="L21" s="95">
        <f>H21*L$19*((V$35+V$37)*V$36)/100</f>
        <v>0</v>
      </c>
      <c r="M21" s="96">
        <f>(H21*M$19*((V$35+V$37)*V$36)/100)-(H21*L$19*((V$35+V$37)*V$36)/100)</f>
        <v>0</v>
      </c>
      <c r="N21" s="39"/>
      <c r="O21" s="39"/>
      <c r="P21" s="39"/>
      <c r="R21" s="11" t="s">
        <v>29</v>
      </c>
      <c r="S21" s="65">
        <v>92.58</v>
      </c>
      <c r="T21" s="16">
        <f t="shared" ref="T21:T32" si="6">(S21+10)*1.25</f>
        <v>128.22499999999999</v>
      </c>
      <c r="U21" s="113">
        <v>80.3</v>
      </c>
      <c r="V21" s="114">
        <f t="shared" ref="V21:V32" si="7">(U21+10)*1.25</f>
        <v>112.875</v>
      </c>
      <c r="W21" s="41"/>
      <c r="X21" s="11" t="s">
        <v>29</v>
      </c>
      <c r="Y21" s="4">
        <v>1.7</v>
      </c>
      <c r="Z21" s="5">
        <v>2.4</v>
      </c>
      <c r="AA21" s="5">
        <v>3</v>
      </c>
      <c r="AB21" s="6">
        <v>4.2</v>
      </c>
      <c r="AC21" s="4">
        <v>2.2999999999999998</v>
      </c>
      <c r="AD21" s="5">
        <v>3</v>
      </c>
      <c r="AE21" s="5">
        <v>3.7</v>
      </c>
      <c r="AF21" s="6">
        <v>4.8</v>
      </c>
      <c r="AG21" s="4">
        <v>3</v>
      </c>
      <c r="AH21" s="5">
        <v>4</v>
      </c>
      <c r="AI21" s="5">
        <v>5.5</v>
      </c>
      <c r="AJ21" s="6">
        <v>8</v>
      </c>
    </row>
    <row r="22" spans="2:36" x14ac:dyDescent="0.2">
      <c r="B22" s="24"/>
      <c r="C22" s="92"/>
      <c r="D22" s="92"/>
      <c r="E22" s="93"/>
      <c r="F22" s="93"/>
      <c r="G22" s="93"/>
      <c r="H22" s="94"/>
      <c r="I22" s="93"/>
      <c r="J22" s="95">
        <f>H22*J$19*((T$35+T$37)*T$36)/100</f>
        <v>0</v>
      </c>
      <c r="K22" s="96">
        <f>(H22*K$19*((T$35+T$37)*T$36)/100)-(H22*J$19*((T$35+T$37)*T$36)/100)</f>
        <v>0</v>
      </c>
      <c r="L22" s="95">
        <f>H22*L$19*((V$35+V$37)*V$36)/100</f>
        <v>0</v>
      </c>
      <c r="M22" s="96">
        <f>(H22*M$19*((V$35+V$37)*V$36)/100)-(H22*L$19*((V$35+V$37)*V$36)/100)</f>
        <v>0</v>
      </c>
      <c r="N22" s="39"/>
      <c r="O22" s="39"/>
      <c r="P22" s="39"/>
      <c r="R22" s="11" t="s">
        <v>30</v>
      </c>
      <c r="S22" s="65">
        <v>82.54</v>
      </c>
      <c r="T22" s="16">
        <f t="shared" si="6"/>
        <v>115.67500000000001</v>
      </c>
      <c r="U22" s="113">
        <v>50.34</v>
      </c>
      <c r="V22" s="114">
        <f t="shared" si="7"/>
        <v>75.425000000000011</v>
      </c>
      <c r="W22" s="41"/>
      <c r="X22" s="11" t="s">
        <v>30</v>
      </c>
      <c r="Y22" s="4">
        <v>1.7</v>
      </c>
      <c r="Z22" s="5">
        <v>2.4</v>
      </c>
      <c r="AA22" s="5">
        <v>3</v>
      </c>
      <c r="AB22" s="6">
        <v>4.2</v>
      </c>
      <c r="AC22" s="4">
        <v>2.5</v>
      </c>
      <c r="AD22" s="5">
        <v>3</v>
      </c>
      <c r="AE22" s="5">
        <v>3.7</v>
      </c>
      <c r="AF22" s="6">
        <v>4.8</v>
      </c>
      <c r="AG22" s="4">
        <v>3</v>
      </c>
      <c r="AH22" s="5">
        <v>4</v>
      </c>
      <c r="AI22" s="5">
        <v>5.5</v>
      </c>
      <c r="AJ22" s="6">
        <v>8</v>
      </c>
    </row>
    <row r="23" spans="2:36" x14ac:dyDescent="0.2">
      <c r="B23" s="28"/>
      <c r="C23" s="97"/>
      <c r="D23" s="97"/>
      <c r="E23" s="98"/>
      <c r="F23" s="98"/>
      <c r="G23" s="98"/>
      <c r="H23" s="99"/>
      <c r="I23" s="93"/>
      <c r="J23" s="100">
        <f>H23*J$19*((T$35+T$37)*T$36)/100</f>
        <v>0</v>
      </c>
      <c r="K23" s="101">
        <f>(H23*K$19*((T$35+T$37)*T$36)/100)-(H23*J$19*((T$35+T$37)*T$36)/100)</f>
        <v>0</v>
      </c>
      <c r="L23" s="100">
        <f>H23*L$19*((V$35+V$37)*V$36)/100</f>
        <v>0</v>
      </c>
      <c r="M23" s="101">
        <f>(H23*M$19*((V$35+V$37)*V$36)/100)-(H23*L$19*((V$35+V$37)*V$36)/100)</f>
        <v>0</v>
      </c>
      <c r="N23" s="39"/>
      <c r="O23" s="39"/>
      <c r="P23" s="39"/>
      <c r="R23" s="11" t="s">
        <v>31</v>
      </c>
      <c r="S23" s="65">
        <v>80.62</v>
      </c>
      <c r="T23" s="16">
        <f t="shared" si="6"/>
        <v>113.27500000000001</v>
      </c>
      <c r="U23" s="113">
        <v>59.47</v>
      </c>
      <c r="V23" s="114">
        <f t="shared" si="7"/>
        <v>86.837500000000006</v>
      </c>
      <c r="W23" s="41"/>
      <c r="X23" s="11" t="s">
        <v>31</v>
      </c>
      <c r="Y23" s="4">
        <v>1.6</v>
      </c>
      <c r="Z23" s="5">
        <v>2.2999999999999998</v>
      </c>
      <c r="AA23" s="5">
        <v>2.6</v>
      </c>
      <c r="AB23" s="6">
        <v>3.8</v>
      </c>
      <c r="AC23" s="4">
        <v>2</v>
      </c>
      <c r="AD23" s="5">
        <v>2.7</v>
      </c>
      <c r="AE23" s="5">
        <v>3.2</v>
      </c>
      <c r="AF23" s="6">
        <v>4</v>
      </c>
      <c r="AG23" s="4">
        <v>2.5</v>
      </c>
      <c r="AH23" s="5">
        <v>3.8</v>
      </c>
      <c r="AI23" s="5">
        <v>4.4000000000000004</v>
      </c>
      <c r="AJ23" s="6">
        <v>6.5</v>
      </c>
    </row>
    <row r="24" spans="2:36" ht="15" thickBot="1" x14ac:dyDescent="0.25">
      <c r="O24" s="2"/>
      <c r="P24" s="2"/>
      <c r="R24" s="11" t="s">
        <v>32</v>
      </c>
      <c r="S24" s="65">
        <v>68.7</v>
      </c>
      <c r="T24" s="16">
        <f t="shared" si="6"/>
        <v>98.375</v>
      </c>
      <c r="U24" s="113">
        <v>56.31</v>
      </c>
      <c r="V24" s="114">
        <f t="shared" si="7"/>
        <v>82.887500000000003</v>
      </c>
      <c r="W24" s="41"/>
      <c r="X24" s="11" t="s">
        <v>32</v>
      </c>
      <c r="Y24" s="4">
        <v>1.5</v>
      </c>
      <c r="Z24" s="5">
        <v>2</v>
      </c>
      <c r="AA24" s="5">
        <v>2.4</v>
      </c>
      <c r="AB24" s="6">
        <v>3.5</v>
      </c>
      <c r="AC24" s="4">
        <v>1.8</v>
      </c>
      <c r="AD24" s="5">
        <v>2.2000000000000002</v>
      </c>
      <c r="AE24" s="5">
        <v>3</v>
      </c>
      <c r="AF24" s="6">
        <v>3.5</v>
      </c>
      <c r="AG24" s="4">
        <v>2</v>
      </c>
      <c r="AH24" s="5">
        <v>2.8</v>
      </c>
      <c r="AI24" s="5">
        <v>3</v>
      </c>
      <c r="AJ24" s="6">
        <v>4</v>
      </c>
    </row>
    <row r="25" spans="2:36" ht="16" thickTop="1" x14ac:dyDescent="0.2">
      <c r="B25" s="123"/>
      <c r="C25" s="77"/>
      <c r="D25" s="77"/>
      <c r="E25" s="124"/>
      <c r="F25" s="124"/>
      <c r="G25" s="124"/>
      <c r="H25" s="125"/>
      <c r="J25" s="245" t="s">
        <v>160</v>
      </c>
      <c r="K25" s="246"/>
      <c r="L25" s="246"/>
      <c r="M25" s="246"/>
      <c r="N25" s="143"/>
      <c r="O25" s="144">
        <v>2023</v>
      </c>
      <c r="P25" s="2"/>
      <c r="R25" s="11" t="s">
        <v>33</v>
      </c>
      <c r="S25" s="65">
        <v>39.020000000000003</v>
      </c>
      <c r="T25" s="16">
        <f t="shared" si="6"/>
        <v>61.275000000000006</v>
      </c>
      <c r="U25" s="113">
        <v>23.71</v>
      </c>
      <c r="V25" s="114">
        <f t="shared" si="7"/>
        <v>42.137500000000003</v>
      </c>
      <c r="W25" s="41"/>
      <c r="X25" s="11" t="s">
        <v>33</v>
      </c>
      <c r="Y25" s="4">
        <v>1</v>
      </c>
      <c r="Z25" s="5">
        <v>1.5</v>
      </c>
      <c r="AA25" s="5">
        <v>1.8</v>
      </c>
      <c r="AB25" s="6">
        <v>2.5</v>
      </c>
      <c r="AC25" s="4">
        <v>1.2</v>
      </c>
      <c r="AD25" s="5">
        <v>1.5</v>
      </c>
      <c r="AE25" s="5">
        <v>2</v>
      </c>
      <c r="AF25" s="6">
        <v>2.4</v>
      </c>
      <c r="AG25" s="4">
        <v>0.8</v>
      </c>
      <c r="AH25" s="5">
        <v>1</v>
      </c>
      <c r="AI25" s="5">
        <v>1</v>
      </c>
      <c r="AJ25" s="6">
        <v>1.5</v>
      </c>
    </row>
    <row r="26" spans="2:36" x14ac:dyDescent="0.2">
      <c r="B26" s="126" t="s">
        <v>28</v>
      </c>
      <c r="C26" s="13" t="s">
        <v>72</v>
      </c>
      <c r="D26" s="13" t="s">
        <v>47</v>
      </c>
      <c r="E26" s="2">
        <v>1500</v>
      </c>
      <c r="F26" s="146">
        <v>0.7</v>
      </c>
      <c r="G26" s="2">
        <v>2</v>
      </c>
      <c r="H26" s="127">
        <f>E26*G26*F26</f>
        <v>2100</v>
      </c>
      <c r="J26" s="83"/>
      <c r="K26" s="79" t="s">
        <v>1</v>
      </c>
      <c r="L26" s="80" t="s">
        <v>2</v>
      </c>
      <c r="M26" s="80" t="s">
        <v>6</v>
      </c>
      <c r="N26" s="78"/>
      <c r="O26" s="84">
        <f>K4+O4</f>
        <v>2175.9540416666669</v>
      </c>
      <c r="P26" s="2"/>
      <c r="R26" s="11" t="s">
        <v>34</v>
      </c>
      <c r="S26" s="65">
        <v>53.06</v>
      </c>
      <c r="T26" s="16">
        <f t="shared" si="6"/>
        <v>78.825000000000003</v>
      </c>
      <c r="U26" s="113">
        <v>27.27</v>
      </c>
      <c r="V26" s="114">
        <f t="shared" si="7"/>
        <v>46.587499999999991</v>
      </c>
      <c r="W26" s="41"/>
      <c r="X26" s="11" t="s">
        <v>34</v>
      </c>
      <c r="Y26" s="4">
        <v>0.8</v>
      </c>
      <c r="Z26" s="5">
        <v>1.2</v>
      </c>
      <c r="AA26" s="5">
        <v>1.5</v>
      </c>
      <c r="AB26" s="5">
        <v>2</v>
      </c>
      <c r="AC26" s="4">
        <v>0.8</v>
      </c>
      <c r="AD26" s="5">
        <v>1.2</v>
      </c>
      <c r="AE26" s="5">
        <v>1.5</v>
      </c>
      <c r="AF26" s="5">
        <v>1.8</v>
      </c>
      <c r="AG26" s="4">
        <v>0.6</v>
      </c>
      <c r="AH26" s="5">
        <v>0.6</v>
      </c>
      <c r="AI26" s="5">
        <v>0.6</v>
      </c>
      <c r="AJ26" s="6">
        <v>0.6</v>
      </c>
    </row>
    <row r="27" spans="2:36" x14ac:dyDescent="0.2">
      <c r="B27" s="128"/>
      <c r="C27" s="129"/>
      <c r="D27" s="129"/>
      <c r="E27" s="130"/>
      <c r="F27" s="131"/>
      <c r="G27" s="130"/>
      <c r="H27" s="132"/>
      <c r="J27" s="85"/>
      <c r="K27" s="80"/>
      <c r="L27" s="80"/>
      <c r="M27" s="80" t="s">
        <v>7</v>
      </c>
      <c r="N27" s="78"/>
      <c r="O27" s="84">
        <f>O26+K$20</f>
        <v>3772.860341666667</v>
      </c>
      <c r="P27" s="2"/>
      <c r="R27" s="11" t="s">
        <v>35</v>
      </c>
      <c r="S27" s="65">
        <v>37.65</v>
      </c>
      <c r="T27" s="16">
        <f t="shared" si="6"/>
        <v>59.5625</v>
      </c>
      <c r="U27" s="113">
        <v>20.72</v>
      </c>
      <c r="V27" s="114">
        <f t="shared" si="7"/>
        <v>38.4</v>
      </c>
      <c r="W27" s="41"/>
      <c r="X27" s="11" t="s">
        <v>35</v>
      </c>
      <c r="Y27" s="4">
        <v>0.8</v>
      </c>
      <c r="Z27" s="5">
        <v>1.2</v>
      </c>
      <c r="AA27" s="5">
        <v>1.5</v>
      </c>
      <c r="AB27" s="5">
        <v>2</v>
      </c>
      <c r="AC27" s="4">
        <v>0.8</v>
      </c>
      <c r="AD27" s="5">
        <v>1.2</v>
      </c>
      <c r="AE27" s="5">
        <v>1.5</v>
      </c>
      <c r="AF27" s="5">
        <v>1.8</v>
      </c>
      <c r="AG27" s="4">
        <v>0.6</v>
      </c>
      <c r="AH27" s="5">
        <v>0.6</v>
      </c>
      <c r="AI27" s="5">
        <v>0.6</v>
      </c>
      <c r="AJ27" s="6">
        <v>0.6</v>
      </c>
    </row>
    <row r="28" spans="2:36" x14ac:dyDescent="0.2">
      <c r="F28" s="42"/>
      <c r="J28" s="85"/>
      <c r="K28" s="80"/>
      <c r="L28" s="80"/>
      <c r="M28" s="80" t="s">
        <v>8</v>
      </c>
      <c r="N28" s="78"/>
      <c r="O28" s="84">
        <f>K4+P4</f>
        <v>2383.1540416666671</v>
      </c>
      <c r="P28" s="2"/>
      <c r="R28" s="11" t="s">
        <v>36</v>
      </c>
      <c r="S28" s="65">
        <v>36.96</v>
      </c>
      <c r="T28" s="16">
        <f t="shared" si="6"/>
        <v>58.7</v>
      </c>
      <c r="U28" s="113">
        <v>8.5399999999999991</v>
      </c>
      <c r="V28" s="114">
        <f t="shared" si="7"/>
        <v>23.174999999999997</v>
      </c>
      <c r="W28" s="41"/>
      <c r="X28" s="11" t="s">
        <v>36</v>
      </c>
      <c r="Y28" s="4">
        <v>0.8</v>
      </c>
      <c r="Z28" s="5">
        <v>1.2</v>
      </c>
      <c r="AA28" s="5">
        <v>1.5</v>
      </c>
      <c r="AB28" s="5">
        <v>2</v>
      </c>
      <c r="AC28" s="4">
        <v>0.8</v>
      </c>
      <c r="AD28" s="5">
        <v>1.2</v>
      </c>
      <c r="AE28" s="5">
        <v>1.5</v>
      </c>
      <c r="AF28" s="5">
        <v>1.8</v>
      </c>
      <c r="AG28" s="4">
        <v>0.6</v>
      </c>
      <c r="AH28" s="5">
        <v>0.6</v>
      </c>
      <c r="AI28" s="5">
        <v>0.6</v>
      </c>
      <c r="AJ28" s="6">
        <v>0.6</v>
      </c>
    </row>
    <row r="29" spans="2:36" x14ac:dyDescent="0.2">
      <c r="J29" s="85"/>
      <c r="K29" s="80"/>
      <c r="L29" s="80"/>
      <c r="M29" s="80" t="s">
        <v>9</v>
      </c>
      <c r="N29" s="78"/>
      <c r="O29" s="84">
        <f>O28+K$20</f>
        <v>3980.0603416666672</v>
      </c>
      <c r="P29" s="2"/>
      <c r="R29" s="11" t="s">
        <v>37</v>
      </c>
      <c r="S29" s="65">
        <v>24.32</v>
      </c>
      <c r="T29" s="16">
        <f t="shared" si="6"/>
        <v>42.9</v>
      </c>
      <c r="U29" s="113">
        <v>16.440000000000001</v>
      </c>
      <c r="V29" s="114">
        <f t="shared" si="7"/>
        <v>33.050000000000004</v>
      </c>
      <c r="W29" s="41"/>
      <c r="X29" s="11" t="s">
        <v>37</v>
      </c>
      <c r="Y29" s="4">
        <v>0.8</v>
      </c>
      <c r="Z29" s="5">
        <v>1.2</v>
      </c>
      <c r="AA29" s="5">
        <v>1.5</v>
      </c>
      <c r="AB29" s="6">
        <v>2</v>
      </c>
      <c r="AC29" s="4">
        <v>0.8</v>
      </c>
      <c r="AD29" s="5">
        <v>1.2</v>
      </c>
      <c r="AE29" s="5">
        <v>1.5</v>
      </c>
      <c r="AF29" s="6">
        <v>1.8</v>
      </c>
      <c r="AG29" s="4">
        <v>0.6</v>
      </c>
      <c r="AH29" s="5">
        <v>0.6</v>
      </c>
      <c r="AI29" s="5">
        <v>0.6</v>
      </c>
      <c r="AJ29" s="6">
        <v>0.6</v>
      </c>
    </row>
    <row r="30" spans="2:36" x14ac:dyDescent="0.2">
      <c r="J30" s="85"/>
      <c r="K30" s="80"/>
      <c r="L30" s="72" t="s">
        <v>3</v>
      </c>
      <c r="M30" s="72" t="s">
        <v>6</v>
      </c>
      <c r="N30" s="73"/>
      <c r="O30" s="86">
        <f>K5+O5</f>
        <v>3002.3831666666665</v>
      </c>
      <c r="P30" s="2"/>
      <c r="R30" s="11" t="s">
        <v>38</v>
      </c>
      <c r="S30" s="65">
        <v>33.06</v>
      </c>
      <c r="T30" s="16">
        <f t="shared" si="6"/>
        <v>53.825000000000003</v>
      </c>
      <c r="U30" s="113">
        <v>22.97</v>
      </c>
      <c r="V30" s="114">
        <f t="shared" si="7"/>
        <v>41.212499999999999</v>
      </c>
      <c r="W30" s="41"/>
      <c r="X30" s="11" t="s">
        <v>38</v>
      </c>
      <c r="Y30" s="4">
        <v>1</v>
      </c>
      <c r="Z30" s="5">
        <v>2</v>
      </c>
      <c r="AA30" s="5">
        <v>1.8</v>
      </c>
      <c r="AB30" s="6">
        <v>3</v>
      </c>
      <c r="AC30" s="4">
        <v>1</v>
      </c>
      <c r="AD30" s="5">
        <v>2</v>
      </c>
      <c r="AE30" s="5">
        <v>2</v>
      </c>
      <c r="AF30" s="6">
        <v>2.4</v>
      </c>
      <c r="AG30" s="4">
        <v>1</v>
      </c>
      <c r="AH30" s="5">
        <v>1.5</v>
      </c>
      <c r="AI30" s="5">
        <v>2</v>
      </c>
      <c r="AJ30" s="6">
        <v>3</v>
      </c>
    </row>
    <row r="31" spans="2:36" x14ac:dyDescent="0.2">
      <c r="J31" s="85"/>
      <c r="K31" s="80"/>
      <c r="L31" s="80"/>
      <c r="M31" s="80" t="s">
        <v>7</v>
      </c>
      <c r="N31" s="78"/>
      <c r="O31" s="84">
        <f>O30+K$20</f>
        <v>4599.2894666666671</v>
      </c>
      <c r="P31" s="2"/>
      <c r="R31" s="11" t="s">
        <v>39</v>
      </c>
      <c r="S31" s="65">
        <v>82.13</v>
      </c>
      <c r="T31" s="16">
        <f t="shared" si="6"/>
        <v>115.16249999999999</v>
      </c>
      <c r="U31" s="113">
        <v>66.95</v>
      </c>
      <c r="V31" s="114">
        <f t="shared" si="7"/>
        <v>96.1875</v>
      </c>
      <c r="W31" s="41"/>
      <c r="X31" s="11" t="s">
        <v>39</v>
      </c>
      <c r="Y31" s="4">
        <v>1.5</v>
      </c>
      <c r="Z31" s="5">
        <v>2.2000000000000002</v>
      </c>
      <c r="AA31" s="5">
        <v>2.4</v>
      </c>
      <c r="AB31" s="6">
        <v>3.5</v>
      </c>
      <c r="AC31" s="4">
        <v>2</v>
      </c>
      <c r="AD31" s="5">
        <v>2.5</v>
      </c>
      <c r="AE31" s="5">
        <v>3</v>
      </c>
      <c r="AF31" s="6">
        <v>3.5</v>
      </c>
      <c r="AG31" s="4">
        <v>2</v>
      </c>
      <c r="AH31" s="5">
        <v>3</v>
      </c>
      <c r="AI31" s="5">
        <v>3.8</v>
      </c>
      <c r="AJ31" s="6">
        <v>6</v>
      </c>
    </row>
    <row r="32" spans="2:36" x14ac:dyDescent="0.2">
      <c r="J32" s="85"/>
      <c r="K32" s="80"/>
      <c r="L32" s="80"/>
      <c r="M32" s="80" t="s">
        <v>8</v>
      </c>
      <c r="N32" s="78"/>
      <c r="O32" s="84">
        <f>K5+P5</f>
        <v>3308.9831666666669</v>
      </c>
      <c r="P32" s="2"/>
      <c r="R32" s="11" t="s">
        <v>40</v>
      </c>
      <c r="S32" s="71">
        <v>80.290000000000006</v>
      </c>
      <c r="T32" s="16">
        <f t="shared" si="6"/>
        <v>112.86250000000001</v>
      </c>
      <c r="U32" s="113">
        <v>59.57</v>
      </c>
      <c r="V32" s="114">
        <f t="shared" si="7"/>
        <v>86.962499999999991</v>
      </c>
      <c r="W32" s="41"/>
      <c r="X32" s="11" t="s">
        <v>40</v>
      </c>
      <c r="Y32" s="4">
        <v>1.6</v>
      </c>
      <c r="Z32" s="5">
        <v>2.2999999999999998</v>
      </c>
      <c r="AA32" s="5">
        <v>2.6</v>
      </c>
      <c r="AB32" s="6">
        <v>4</v>
      </c>
      <c r="AC32" s="4">
        <v>2.2000000000000002</v>
      </c>
      <c r="AD32" s="5">
        <v>3</v>
      </c>
      <c r="AE32" s="5">
        <v>3.6</v>
      </c>
      <c r="AF32" s="6">
        <v>4.5</v>
      </c>
      <c r="AG32" s="4">
        <v>3</v>
      </c>
      <c r="AH32" s="5">
        <v>4</v>
      </c>
      <c r="AI32" s="5">
        <v>5.5</v>
      </c>
      <c r="AJ32" s="6">
        <v>7.5</v>
      </c>
    </row>
    <row r="33" spans="8:36" x14ac:dyDescent="0.2">
      <c r="J33" s="85"/>
      <c r="K33" s="80"/>
      <c r="L33" s="80"/>
      <c r="M33" s="80" t="s">
        <v>9</v>
      </c>
      <c r="N33" s="78"/>
      <c r="O33" s="84">
        <f>O32+K$20</f>
        <v>4905.8894666666674</v>
      </c>
      <c r="P33" s="2"/>
      <c r="R33" s="14" t="s">
        <v>43</v>
      </c>
      <c r="S33" s="17">
        <f>SUM(S21:S32)/12</f>
        <v>59.244166666666665</v>
      </c>
      <c r="T33" s="18">
        <f>SUM(T21:T32)/12</f>
        <v>86.55520833333334</v>
      </c>
      <c r="U33" s="115">
        <f>SUM(U21:U32)/12</f>
        <v>41.049166666666672</v>
      </c>
      <c r="V33" s="116">
        <f>SUM(V21:V32)/12</f>
        <v>63.811458333333327</v>
      </c>
      <c r="W33" s="19"/>
      <c r="X33" s="14" t="s">
        <v>43</v>
      </c>
      <c r="Y33" s="17">
        <v>1.2333333333333336</v>
      </c>
      <c r="Z33" s="43">
        <v>1.825</v>
      </c>
      <c r="AA33" s="43">
        <v>2.1333333333333333</v>
      </c>
      <c r="AB33" s="18">
        <v>3.0583333333333336</v>
      </c>
      <c r="AC33" s="17">
        <v>1.5166666666666666</v>
      </c>
      <c r="AD33" s="43">
        <v>2.0583333333333331</v>
      </c>
      <c r="AE33" s="43">
        <v>2.5166666666666671</v>
      </c>
      <c r="AF33" s="18">
        <v>3.0916666666666668</v>
      </c>
      <c r="AG33" s="17">
        <v>1.6416666666666666</v>
      </c>
      <c r="AH33" s="43">
        <v>2.2083333333333339</v>
      </c>
      <c r="AI33" s="43">
        <v>2.7583333333333342</v>
      </c>
      <c r="AJ33" s="18">
        <v>3.9083333333333337</v>
      </c>
    </row>
    <row r="34" spans="8:36" x14ac:dyDescent="0.2">
      <c r="J34" s="85"/>
      <c r="K34" s="80"/>
      <c r="L34" s="72" t="s">
        <v>4</v>
      </c>
      <c r="M34" s="72" t="s">
        <v>6</v>
      </c>
      <c r="N34" s="73"/>
      <c r="O34" s="86">
        <f>K6+O6</f>
        <v>4030.2152916666669</v>
      </c>
      <c r="P34" s="2"/>
      <c r="R34" s="15"/>
      <c r="S34" s="19"/>
      <c r="T34" s="19"/>
      <c r="U34" s="117"/>
      <c r="V34" s="117"/>
      <c r="W34" s="19"/>
      <c r="X34" s="163" t="s">
        <v>54</v>
      </c>
      <c r="Y34" s="36">
        <v>6</v>
      </c>
      <c r="Z34" s="2">
        <v>8</v>
      </c>
      <c r="AA34" s="2">
        <v>10</v>
      </c>
      <c r="AB34" s="2">
        <v>14</v>
      </c>
      <c r="AC34" s="2">
        <v>6</v>
      </c>
      <c r="AD34" s="2">
        <v>8</v>
      </c>
      <c r="AE34" s="2">
        <v>10</v>
      </c>
      <c r="AF34" s="2">
        <v>14</v>
      </c>
      <c r="AG34" s="2">
        <v>6</v>
      </c>
      <c r="AH34" s="2">
        <v>8</v>
      </c>
      <c r="AI34" s="2">
        <v>10</v>
      </c>
      <c r="AJ34" s="2">
        <v>14</v>
      </c>
    </row>
    <row r="35" spans="8:36" x14ac:dyDescent="0.2">
      <c r="J35" s="85"/>
      <c r="K35" s="80"/>
      <c r="L35" s="80"/>
      <c r="M35" s="80" t="s">
        <v>7</v>
      </c>
      <c r="N35" s="78"/>
      <c r="O35" s="84">
        <f>O34+K$20</f>
        <v>5627.121591666667</v>
      </c>
      <c r="P35" s="2"/>
      <c r="R35" s="155" t="s">
        <v>45</v>
      </c>
      <c r="S35" s="167" t="s">
        <v>46</v>
      </c>
      <c r="T35" s="168">
        <f>SUM(T25:T30)/6</f>
        <v>59.181249999999999</v>
      </c>
      <c r="U35" s="118"/>
      <c r="V35" s="119">
        <f>SUM(V25:V30)/6</f>
        <v>37.427083333333336</v>
      </c>
      <c r="W35" s="5"/>
      <c r="X35" s="164" t="s">
        <v>55</v>
      </c>
      <c r="Y35" s="158">
        <v>70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8:36" x14ac:dyDescent="0.2">
      <c r="J36" s="85"/>
      <c r="K36" s="80"/>
      <c r="L36" s="80"/>
      <c r="M36" s="80" t="s">
        <v>8</v>
      </c>
      <c r="N36" s="78"/>
      <c r="O36" s="84">
        <f>K6+P6</f>
        <v>4388.615291666667</v>
      </c>
      <c r="P36" s="2"/>
      <c r="R36" s="156" t="s">
        <v>50</v>
      </c>
      <c r="S36" s="169"/>
      <c r="T36" s="66">
        <v>0.66</v>
      </c>
      <c r="U36" s="93"/>
      <c r="V36" s="120">
        <v>0.66</v>
      </c>
      <c r="W36" s="42"/>
      <c r="X36" s="165" t="s">
        <v>58</v>
      </c>
      <c r="Y36" s="159">
        <v>20</v>
      </c>
      <c r="AA36" s="13"/>
      <c r="AB36" s="13"/>
      <c r="AC36" s="13"/>
      <c r="AE36" s="13"/>
      <c r="AF36" s="13"/>
      <c r="AG36" s="13"/>
    </row>
    <row r="37" spans="8:36" x14ac:dyDescent="0.2">
      <c r="J37" s="85"/>
      <c r="K37" s="80"/>
      <c r="L37" s="80"/>
      <c r="M37" s="80" t="s">
        <v>9</v>
      </c>
      <c r="N37" s="78"/>
      <c r="O37" s="84">
        <f>O36+K$20</f>
        <v>5985.5215916666675</v>
      </c>
      <c r="P37" s="2"/>
      <c r="R37" s="157" t="s">
        <v>44</v>
      </c>
      <c r="S37" s="150"/>
      <c r="T37" s="67">
        <v>100</v>
      </c>
      <c r="U37" s="98"/>
      <c r="V37" s="121">
        <v>86</v>
      </c>
      <c r="W37" s="15"/>
      <c r="X37" s="166" t="s">
        <v>67</v>
      </c>
      <c r="Y37" s="160">
        <v>8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8:36" x14ac:dyDescent="0.2">
      <c r="J38" s="85"/>
      <c r="K38" s="80"/>
      <c r="L38" s="72" t="s">
        <v>5</v>
      </c>
      <c r="M38" s="72" t="s">
        <v>6</v>
      </c>
      <c r="N38" s="73"/>
      <c r="O38" s="86">
        <f>K7+O7</f>
        <v>5650.9286458333336</v>
      </c>
      <c r="U38" s="15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8:36" x14ac:dyDescent="0.2">
      <c r="J39" s="85"/>
      <c r="K39" s="80"/>
      <c r="L39" s="80"/>
      <c r="M39" s="80" t="s">
        <v>7</v>
      </c>
      <c r="N39" s="78"/>
      <c r="O39" s="84">
        <f>O38+K$20</f>
        <v>7247.8349458333341</v>
      </c>
      <c r="U39" s="15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8:36" x14ac:dyDescent="0.2">
      <c r="J40" s="85"/>
      <c r="K40" s="80"/>
      <c r="L40" s="80"/>
      <c r="M40" s="80" t="s">
        <v>8</v>
      </c>
      <c r="N40" s="78"/>
      <c r="O40" s="84">
        <f>K7+P7</f>
        <v>6164.7286458333338</v>
      </c>
      <c r="U40" s="15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8:36" x14ac:dyDescent="0.2">
      <c r="J41" s="85"/>
      <c r="K41" s="80"/>
      <c r="L41" s="80"/>
      <c r="M41" s="80" t="s">
        <v>9</v>
      </c>
      <c r="N41" s="78"/>
      <c r="O41" s="84">
        <f>O40+K$20</f>
        <v>7761.6349458333334</v>
      </c>
      <c r="U41" s="15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8:36" x14ac:dyDescent="0.2">
      <c r="J42" s="85"/>
      <c r="K42" s="74" t="s">
        <v>12</v>
      </c>
      <c r="L42" s="75" t="s">
        <v>2</v>
      </c>
      <c r="M42" s="75" t="s">
        <v>6</v>
      </c>
      <c r="N42" s="76"/>
      <c r="O42" s="87">
        <f>K8+O8</f>
        <v>2874.7252083333333</v>
      </c>
      <c r="U42" s="15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8:36" x14ac:dyDescent="0.2">
      <c r="J43" s="85"/>
      <c r="K43" s="80"/>
      <c r="L43" s="80"/>
      <c r="M43" s="80" t="s">
        <v>7</v>
      </c>
      <c r="N43" s="78"/>
      <c r="O43" s="84">
        <f>O42+K$20</f>
        <v>4471.6315083333338</v>
      </c>
      <c r="U43" s="15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8:36" x14ac:dyDescent="0.2">
      <c r="J44" s="85"/>
      <c r="K44" s="80"/>
      <c r="L44" s="80"/>
      <c r="M44" s="80" t="s">
        <v>8</v>
      </c>
      <c r="N44" s="78"/>
      <c r="O44" s="84">
        <f>K8+P8</f>
        <v>3129.5252083333335</v>
      </c>
      <c r="U44" s="15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8:36" x14ac:dyDescent="0.2">
      <c r="J45" s="85"/>
      <c r="K45" s="80"/>
      <c r="L45" s="80"/>
      <c r="M45" s="80" t="s">
        <v>9</v>
      </c>
      <c r="N45" s="78"/>
      <c r="O45" s="84">
        <f>O44+K$20</f>
        <v>4726.4315083333331</v>
      </c>
      <c r="U45" s="15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8:36" x14ac:dyDescent="0.2">
      <c r="I46" s="15"/>
      <c r="J46" s="85"/>
      <c r="K46" s="80"/>
      <c r="L46" s="72" t="s">
        <v>3</v>
      </c>
      <c r="M46" s="72" t="s">
        <v>6</v>
      </c>
      <c r="N46" s="73"/>
      <c r="O46" s="86">
        <f>K9+O9</f>
        <v>3673.1543333333334</v>
      </c>
      <c r="U46" s="15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8:36" x14ac:dyDescent="0.2">
      <c r="H47" s="15"/>
      <c r="I47" s="15"/>
      <c r="J47" s="85"/>
      <c r="K47" s="80"/>
      <c r="L47" s="80"/>
      <c r="M47" s="80" t="s">
        <v>7</v>
      </c>
      <c r="N47" s="78"/>
      <c r="O47" s="84">
        <f>O46+K$20</f>
        <v>5270.0606333333335</v>
      </c>
      <c r="U47" s="15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8:36" x14ac:dyDescent="0.2">
      <c r="H48" s="15"/>
      <c r="I48" s="13"/>
      <c r="J48" s="85"/>
      <c r="K48" s="80"/>
      <c r="L48" s="80"/>
      <c r="M48" s="80" t="s">
        <v>8</v>
      </c>
      <c r="N48" s="78"/>
      <c r="O48" s="84">
        <f>K9+P9</f>
        <v>4018.9543333333331</v>
      </c>
      <c r="U48" s="15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7:33" x14ac:dyDescent="0.2">
      <c r="H49" s="13"/>
      <c r="I49" s="19"/>
      <c r="J49" s="85"/>
      <c r="K49" s="80"/>
      <c r="L49" s="80"/>
      <c r="M49" s="80" t="s">
        <v>9</v>
      </c>
      <c r="N49" s="78"/>
      <c r="O49" s="84">
        <f>O48+K$20</f>
        <v>5615.8606333333337</v>
      </c>
      <c r="U49" s="15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7:33" x14ac:dyDescent="0.2">
      <c r="G50" s="15"/>
      <c r="H50" s="19"/>
      <c r="I50" s="19"/>
      <c r="J50" s="85"/>
      <c r="K50" s="80"/>
      <c r="L50" s="72" t="s">
        <v>4</v>
      </c>
      <c r="M50" s="72" t="s">
        <v>6</v>
      </c>
      <c r="N50" s="73"/>
      <c r="O50" s="86">
        <f>K10+O10</f>
        <v>5426.3605520833335</v>
      </c>
      <c r="U50" s="15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7:33" x14ac:dyDescent="0.2">
      <c r="G51" s="15"/>
      <c r="H51" s="19"/>
      <c r="I51" s="19"/>
      <c r="J51" s="85"/>
      <c r="K51" s="80"/>
      <c r="L51" s="80"/>
      <c r="M51" s="80" t="s">
        <v>7</v>
      </c>
      <c r="N51" s="78"/>
      <c r="O51" s="84">
        <f>O50+K$20</f>
        <v>7023.266852083334</v>
      </c>
      <c r="U51" s="15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7:33" x14ac:dyDescent="0.2">
      <c r="G52" s="15"/>
      <c r="H52" s="19"/>
      <c r="I52" s="19"/>
      <c r="J52" s="85"/>
      <c r="K52" s="80"/>
      <c r="L52" s="80"/>
      <c r="M52" s="80" t="s">
        <v>8</v>
      </c>
      <c r="N52" s="78"/>
      <c r="O52" s="84">
        <f>K10+P10</f>
        <v>5849.1605520833336</v>
      </c>
    </row>
    <row r="53" spans="7:33" x14ac:dyDescent="0.2">
      <c r="G53" s="15"/>
      <c r="H53" s="19"/>
      <c r="I53" s="19"/>
      <c r="J53" s="85"/>
      <c r="K53" s="80"/>
      <c r="L53" s="80"/>
      <c r="M53" s="80" t="s">
        <v>9</v>
      </c>
      <c r="N53" s="78"/>
      <c r="O53" s="84">
        <f>O52+K$20</f>
        <v>7446.0668520833333</v>
      </c>
    </row>
    <row r="54" spans="7:33" x14ac:dyDescent="0.2">
      <c r="G54" s="15"/>
      <c r="H54" s="19"/>
      <c r="I54" s="19"/>
      <c r="J54" s="85"/>
      <c r="K54" s="80"/>
      <c r="L54" s="72" t="s">
        <v>5</v>
      </c>
      <c r="M54" s="72" t="s">
        <v>6</v>
      </c>
      <c r="N54" s="73"/>
      <c r="O54" s="86">
        <f>K11+O11</f>
        <v>6794.8130208333332</v>
      </c>
    </row>
    <row r="55" spans="7:33" x14ac:dyDescent="0.2">
      <c r="G55" s="15"/>
      <c r="H55" s="19"/>
      <c r="I55" s="19"/>
      <c r="J55" s="85"/>
      <c r="K55" s="80"/>
      <c r="L55" s="80"/>
      <c r="M55" s="80" t="s">
        <v>7</v>
      </c>
      <c r="N55" s="78"/>
      <c r="O55" s="84">
        <f>O54+K$20</f>
        <v>8391.7193208333338</v>
      </c>
    </row>
    <row r="56" spans="7:33" x14ac:dyDescent="0.2">
      <c r="G56" s="15"/>
      <c r="H56" s="19"/>
      <c r="I56" s="19"/>
      <c r="J56" s="85"/>
      <c r="K56" s="80"/>
      <c r="L56" s="80"/>
      <c r="M56" s="80" t="s">
        <v>8</v>
      </c>
      <c r="N56" s="78"/>
      <c r="O56" s="84">
        <f>K11+P11</f>
        <v>7314.2130208333338</v>
      </c>
    </row>
    <row r="57" spans="7:33" x14ac:dyDescent="0.2">
      <c r="G57" s="15"/>
      <c r="H57" s="19"/>
      <c r="I57" s="19"/>
      <c r="J57" s="85"/>
      <c r="K57" s="80"/>
      <c r="L57" s="80"/>
      <c r="M57" s="80" t="s">
        <v>9</v>
      </c>
      <c r="N57" s="78"/>
      <c r="O57" s="84">
        <f>O56+K$20</f>
        <v>8911.1193208333334</v>
      </c>
    </row>
    <row r="58" spans="7:33" x14ac:dyDescent="0.2">
      <c r="G58" s="15"/>
      <c r="H58" s="19"/>
      <c r="I58" s="19"/>
      <c r="J58" s="85"/>
      <c r="K58" s="74" t="s">
        <v>13</v>
      </c>
      <c r="L58" s="75" t="s">
        <v>2</v>
      </c>
      <c r="M58" s="75" t="s">
        <v>6</v>
      </c>
      <c r="N58" s="76"/>
      <c r="O58" s="87">
        <f>K12+O12</f>
        <v>3619.8558333333331</v>
      </c>
    </row>
    <row r="59" spans="7:33" x14ac:dyDescent="0.2">
      <c r="G59" s="15"/>
      <c r="H59" s="19"/>
      <c r="I59" s="19"/>
      <c r="J59" s="85"/>
      <c r="K59" s="80"/>
      <c r="L59" s="80"/>
      <c r="M59" s="80" t="s">
        <v>7</v>
      </c>
      <c r="N59" s="78"/>
      <c r="O59" s="84">
        <f>O58+K$20</f>
        <v>5216.7621333333336</v>
      </c>
    </row>
    <row r="60" spans="7:33" x14ac:dyDescent="0.2">
      <c r="G60" s="15"/>
      <c r="H60" s="19"/>
      <c r="I60" s="19"/>
      <c r="J60" s="85"/>
      <c r="K60" s="80"/>
      <c r="L60" s="80"/>
      <c r="M60" s="80" t="s">
        <v>8</v>
      </c>
      <c r="N60" s="78"/>
      <c r="O60" s="84">
        <f>K12+P12</f>
        <v>3895.6558333333332</v>
      </c>
    </row>
    <row r="61" spans="7:33" x14ac:dyDescent="0.2">
      <c r="G61" s="15"/>
      <c r="H61" s="19"/>
      <c r="I61" s="19"/>
      <c r="J61" s="85"/>
      <c r="K61" s="80"/>
      <c r="L61" s="80"/>
      <c r="M61" s="80" t="s">
        <v>9</v>
      </c>
      <c r="N61" s="78"/>
      <c r="O61" s="84">
        <f>O60+K$20</f>
        <v>5492.5621333333329</v>
      </c>
    </row>
    <row r="62" spans="7:33" x14ac:dyDescent="0.2">
      <c r="G62" s="15"/>
      <c r="H62" s="19"/>
      <c r="I62" s="46"/>
      <c r="J62" s="85"/>
      <c r="K62" s="80"/>
      <c r="L62" s="72" t="s">
        <v>3</v>
      </c>
      <c r="M62" s="72" t="s">
        <v>6</v>
      </c>
      <c r="N62" s="73"/>
      <c r="O62" s="86">
        <f>K13+O13</f>
        <v>5197.4330000000009</v>
      </c>
    </row>
    <row r="63" spans="7:33" x14ac:dyDescent="0.2">
      <c r="G63" s="46"/>
      <c r="H63" s="46"/>
      <c r="I63" s="47"/>
      <c r="J63" s="85"/>
      <c r="K63" s="80"/>
      <c r="L63" s="80"/>
      <c r="M63" s="80" t="s">
        <v>7</v>
      </c>
      <c r="N63" s="78"/>
      <c r="O63" s="84">
        <f>O62+K$20</f>
        <v>6794.3393000000015</v>
      </c>
    </row>
    <row r="64" spans="7:33" x14ac:dyDescent="0.2">
      <c r="G64" s="47"/>
      <c r="H64" s="47"/>
      <c r="I64" s="46"/>
      <c r="J64" s="85"/>
      <c r="K64" s="80"/>
      <c r="L64" s="80"/>
      <c r="M64" s="80" t="s">
        <v>8</v>
      </c>
      <c r="N64" s="78"/>
      <c r="O64" s="84">
        <f>K13+P13</f>
        <v>5568.4330000000009</v>
      </c>
    </row>
    <row r="65" spans="7:15" x14ac:dyDescent="0.2">
      <c r="G65" s="46"/>
      <c r="H65" s="46"/>
      <c r="J65" s="85"/>
      <c r="K65" s="80"/>
      <c r="L65" s="80"/>
      <c r="M65" s="80" t="s">
        <v>9</v>
      </c>
      <c r="N65" s="78"/>
      <c r="O65" s="84">
        <f>O64+K$20</f>
        <v>7165.3393000000015</v>
      </c>
    </row>
    <row r="66" spans="7:15" x14ac:dyDescent="0.2">
      <c r="J66" s="85"/>
      <c r="K66" s="80"/>
      <c r="L66" s="72" t="s">
        <v>4</v>
      </c>
      <c r="M66" s="72" t="s">
        <v>6</v>
      </c>
      <c r="N66" s="73"/>
      <c r="O66" s="86">
        <f>K14+O14</f>
        <v>7215.7639166666677</v>
      </c>
    </row>
    <row r="67" spans="7:15" x14ac:dyDescent="0.2">
      <c r="J67" s="85"/>
      <c r="K67" s="80"/>
      <c r="L67" s="80"/>
      <c r="M67" s="80" t="s">
        <v>7</v>
      </c>
      <c r="N67" s="78"/>
      <c r="O67" s="84">
        <f>O66+K$20</f>
        <v>8812.6702166666673</v>
      </c>
    </row>
    <row r="68" spans="7:15" x14ac:dyDescent="0.2">
      <c r="J68" s="85"/>
      <c r="K68" s="80"/>
      <c r="L68" s="80"/>
      <c r="M68" s="80" t="s">
        <v>8</v>
      </c>
      <c r="N68" s="78"/>
      <c r="O68" s="84">
        <f>K14+P14</f>
        <v>7679.1639166666682</v>
      </c>
    </row>
    <row r="69" spans="7:15" x14ac:dyDescent="0.2">
      <c r="J69" s="85"/>
      <c r="K69" s="80"/>
      <c r="L69" s="80"/>
      <c r="M69" s="80" t="s">
        <v>9</v>
      </c>
      <c r="N69" s="78"/>
      <c r="O69" s="84">
        <f>O68+K$20</f>
        <v>9276.0702166666688</v>
      </c>
    </row>
    <row r="70" spans="7:15" x14ac:dyDescent="0.2">
      <c r="J70" s="85"/>
      <c r="K70" s="80"/>
      <c r="L70" s="72" t="s">
        <v>5</v>
      </c>
      <c r="M70" s="72" t="s">
        <v>6</v>
      </c>
      <c r="N70" s="73"/>
      <c r="O70" s="86">
        <f>K15+O15</f>
        <v>8233.2484375000004</v>
      </c>
    </row>
    <row r="71" spans="7:15" x14ac:dyDescent="0.2">
      <c r="J71" s="85"/>
      <c r="K71" s="80"/>
      <c r="L71" s="80"/>
      <c r="M71" s="80" t="s">
        <v>7</v>
      </c>
      <c r="N71" s="78"/>
      <c r="O71" s="84">
        <f>O70+K$20</f>
        <v>9830.1547375000009</v>
      </c>
    </row>
    <row r="72" spans="7:15" x14ac:dyDescent="0.2">
      <c r="J72" s="85"/>
      <c r="K72" s="80"/>
      <c r="L72" s="80"/>
      <c r="M72" s="80" t="s">
        <v>8</v>
      </c>
      <c r="N72" s="78"/>
      <c r="O72" s="84">
        <f>K15+P15</f>
        <v>10159.181770833335</v>
      </c>
    </row>
    <row r="73" spans="7:15" ht="15" thickBot="1" x14ac:dyDescent="0.25">
      <c r="J73" s="88"/>
      <c r="K73" s="89"/>
      <c r="L73" s="89"/>
      <c r="M73" s="89" t="s">
        <v>9</v>
      </c>
      <c r="N73" s="90"/>
      <c r="O73" s="91">
        <f>O72+K$20</f>
        <v>11756.088070833335</v>
      </c>
    </row>
    <row r="74" spans="7:15" ht="15" thickTop="1" x14ac:dyDescent="0.2"/>
  </sheetData>
  <mergeCells count="17">
    <mergeCell ref="J17:K18"/>
    <mergeCell ref="L17:M18"/>
    <mergeCell ref="R5:S5"/>
    <mergeCell ref="R6:S6"/>
    <mergeCell ref="R7:S7"/>
    <mergeCell ref="R8:S8"/>
    <mergeCell ref="J1:K1"/>
    <mergeCell ref="L1:M1"/>
    <mergeCell ref="O1:P1"/>
    <mergeCell ref="R3:S3"/>
    <mergeCell ref="R4:S4"/>
    <mergeCell ref="U19:V19"/>
    <mergeCell ref="Y19:AB19"/>
    <mergeCell ref="AC19:AF19"/>
    <mergeCell ref="AG19:AJ19"/>
    <mergeCell ref="J25:M25"/>
    <mergeCell ref="S19:T1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AF3C-6B53-4BA9-8BD7-6237A19D75AE}">
  <dimension ref="B1:AJ74"/>
  <sheetViews>
    <sheetView zoomScale="80" zoomScaleNormal="80" workbookViewId="0">
      <selection activeCell="Y37" sqref="Y37"/>
    </sheetView>
  </sheetViews>
  <sheetFormatPr baseColWidth="10" defaultColWidth="9.1640625" defaultRowHeight="14" x14ac:dyDescent="0.2"/>
  <cols>
    <col min="1" max="3" width="9.1640625" style="13"/>
    <col min="4" max="4" width="37.5" style="13" customWidth="1"/>
    <col min="5" max="5" width="12.1640625" style="2" customWidth="1"/>
    <col min="6" max="6" width="11" style="2" customWidth="1"/>
    <col min="7" max="7" width="10.6640625" style="2" customWidth="1"/>
    <col min="8" max="8" width="12.83203125" style="2" customWidth="1"/>
    <col min="9" max="9" width="3.1640625" style="2" customWidth="1"/>
    <col min="10" max="13" width="14.6640625" style="2" customWidth="1"/>
    <col min="14" max="14" width="3.1640625" style="2" customWidth="1"/>
    <col min="15" max="16" width="15.6640625" style="13" customWidth="1"/>
    <col min="17" max="17" width="4.33203125" style="2" customWidth="1"/>
    <col min="18" max="18" width="15.6640625" style="13" customWidth="1"/>
    <col min="19" max="22" width="16.6640625" style="13" customWidth="1"/>
    <col min="23" max="23" width="4.5" style="2" customWidth="1"/>
    <col min="24" max="24" width="19.1640625" style="2" customWidth="1"/>
    <col min="25" max="25" width="8.6640625" style="2" customWidth="1"/>
    <col min="26" max="26" width="8.6640625" style="13" customWidth="1"/>
    <col min="27" max="29" width="8.6640625" style="2" customWidth="1"/>
    <col min="30" max="30" width="8.6640625" style="13" customWidth="1"/>
    <col min="31" max="33" width="8.6640625" style="2" customWidth="1"/>
    <col min="34" max="36" width="8.6640625" style="13" customWidth="1"/>
    <col min="37" max="16384" width="9.1640625" style="13"/>
  </cols>
  <sheetData>
    <row r="1" spans="2:19" ht="33" customHeight="1" x14ac:dyDescent="0.2">
      <c r="B1" s="170" t="s">
        <v>10</v>
      </c>
      <c r="C1" s="171" t="s">
        <v>11</v>
      </c>
      <c r="D1" s="171" t="s">
        <v>22</v>
      </c>
      <c r="E1" s="171" t="s">
        <v>25</v>
      </c>
      <c r="F1" s="171" t="s">
        <v>23</v>
      </c>
      <c r="G1" s="171" t="s">
        <v>24</v>
      </c>
      <c r="H1" s="172" t="s">
        <v>57</v>
      </c>
      <c r="I1" s="53"/>
      <c r="J1" s="232" t="s">
        <v>56</v>
      </c>
      <c r="K1" s="233"/>
      <c r="L1" s="234" t="s">
        <v>70</v>
      </c>
      <c r="M1" s="235"/>
      <c r="O1" s="250" t="s">
        <v>61</v>
      </c>
      <c r="P1" s="251"/>
    </row>
    <row r="2" spans="2:19" ht="15" x14ac:dyDescent="0.2">
      <c r="B2" s="22"/>
      <c r="C2" s="15"/>
      <c r="D2" s="15"/>
      <c r="E2" s="15"/>
      <c r="F2" s="15"/>
      <c r="G2" s="15"/>
      <c r="H2" s="23"/>
      <c r="I2" s="53"/>
      <c r="J2" s="147" t="s">
        <v>62</v>
      </c>
      <c r="K2" s="62">
        <v>0.26</v>
      </c>
      <c r="L2" s="102" t="s">
        <v>62</v>
      </c>
      <c r="M2" s="103">
        <v>0.25</v>
      </c>
      <c r="O2" s="148" t="s">
        <v>60</v>
      </c>
      <c r="P2" s="149" t="s">
        <v>59</v>
      </c>
    </row>
    <row r="3" spans="2:19" ht="16" x14ac:dyDescent="0.2">
      <c r="B3" s="22"/>
      <c r="C3" s="15"/>
      <c r="D3" s="15"/>
      <c r="E3" s="15"/>
      <c r="F3" s="15"/>
      <c r="G3" s="15"/>
      <c r="H3" s="23"/>
      <c r="I3" s="53"/>
      <c r="J3" s="189" t="s">
        <v>183</v>
      </c>
      <c r="K3" s="190" t="s">
        <v>184</v>
      </c>
      <c r="L3" s="191" t="s">
        <v>183</v>
      </c>
      <c r="M3" s="192" t="s">
        <v>184</v>
      </c>
      <c r="O3" s="24"/>
      <c r="P3" s="48"/>
      <c r="R3" s="252" t="s">
        <v>68</v>
      </c>
      <c r="S3" s="253"/>
    </row>
    <row r="4" spans="2:19" ht="15" x14ac:dyDescent="0.2">
      <c r="B4" s="24" t="s">
        <v>21</v>
      </c>
      <c r="C4" s="13" t="s">
        <v>17</v>
      </c>
      <c r="D4" s="13" t="s">
        <v>63</v>
      </c>
      <c r="E4" s="68">
        <v>120</v>
      </c>
      <c r="F4" s="2">
        <v>1990</v>
      </c>
      <c r="G4" s="68">
        <v>55</v>
      </c>
      <c r="H4" s="25">
        <f>E4*G4</f>
        <v>6600</v>
      </c>
      <c r="J4" s="26">
        <f t="shared" ref="J4:J15" si="0">H4/100*T$33</f>
        <v>4598.34375</v>
      </c>
      <c r="K4" s="27">
        <f t="shared" ref="K4:K15" si="1">H4/100*T$33*K$2</f>
        <v>1195.569375</v>
      </c>
      <c r="L4" s="95">
        <f t="shared" ref="L4:L15" si="2">H4/100*V$33</f>
        <v>3149.2312499999998</v>
      </c>
      <c r="M4" s="104">
        <f t="shared" ref="M4:M15" si="3">H4/100*V$33*M$2</f>
        <v>787.30781249999995</v>
      </c>
      <c r="O4" s="49">
        <f>$Y33*$Y$35*12*((60-$Y$36)/60)</f>
        <v>690.66666666666674</v>
      </c>
      <c r="P4" s="50">
        <f>$Y33*$Y$35*12*((60-$Y$37)/60)</f>
        <v>897.8666666666669</v>
      </c>
      <c r="R4" s="254" t="s">
        <v>69</v>
      </c>
      <c r="S4" s="255"/>
    </row>
    <row r="5" spans="2:19" ht="15" x14ac:dyDescent="0.2">
      <c r="B5" s="24"/>
      <c r="C5" s="13" t="s">
        <v>18</v>
      </c>
      <c r="D5" s="13" t="s">
        <v>64</v>
      </c>
      <c r="E5" s="68">
        <v>160</v>
      </c>
      <c r="F5" s="2">
        <v>2010</v>
      </c>
      <c r="G5" s="68">
        <v>55</v>
      </c>
      <c r="H5" s="25">
        <f t="shared" ref="H5:H15" si="4">E5*G5</f>
        <v>8800</v>
      </c>
      <c r="J5" s="26">
        <f t="shared" si="0"/>
        <v>6131.125</v>
      </c>
      <c r="K5" s="27">
        <f t="shared" si="1"/>
        <v>1594.0925</v>
      </c>
      <c r="L5" s="95">
        <f t="shared" si="2"/>
        <v>4198.9749999999995</v>
      </c>
      <c r="M5" s="104">
        <f t="shared" si="3"/>
        <v>1049.7437499999999</v>
      </c>
      <c r="O5" s="49">
        <f>Z33*Y$35*12*((60-Y$36)/60)</f>
        <v>1022</v>
      </c>
      <c r="P5" s="50">
        <f>$Z33*$Y$35*12*((60-$Y$37)/60)</f>
        <v>1328.6000000000001</v>
      </c>
      <c r="R5" s="260"/>
      <c r="S5" s="261"/>
    </row>
    <row r="6" spans="2:19" ht="15" x14ac:dyDescent="0.2">
      <c r="B6" s="24"/>
      <c r="C6" s="13" t="s">
        <v>19</v>
      </c>
      <c r="D6" s="13" t="s">
        <v>65</v>
      </c>
      <c r="E6" s="68">
        <v>210</v>
      </c>
      <c r="F6" s="2">
        <v>1960</v>
      </c>
      <c r="G6" s="68">
        <v>60</v>
      </c>
      <c r="H6" s="25">
        <f t="shared" si="4"/>
        <v>12600</v>
      </c>
      <c r="J6" s="26">
        <f t="shared" si="0"/>
        <v>8778.65625</v>
      </c>
      <c r="K6" s="27">
        <f t="shared" si="1"/>
        <v>2282.4506249999999</v>
      </c>
      <c r="L6" s="95">
        <f t="shared" si="2"/>
        <v>6012.1687499999998</v>
      </c>
      <c r="M6" s="104">
        <f t="shared" si="3"/>
        <v>1503.0421875</v>
      </c>
      <c r="O6" s="49">
        <f>AA33*Y$35*12*((60-Y$36)/60)</f>
        <v>1194.6666666666665</v>
      </c>
      <c r="P6" s="50">
        <f>$AA33*$Y$35*12*((60-$Y$37)/60)</f>
        <v>1553.0666666666666</v>
      </c>
      <c r="R6" s="262"/>
      <c r="S6" s="263"/>
    </row>
    <row r="7" spans="2:19" ht="15" x14ac:dyDescent="0.2">
      <c r="B7" s="24"/>
      <c r="C7" s="13" t="s">
        <v>20</v>
      </c>
      <c r="D7" s="13" t="s">
        <v>66</v>
      </c>
      <c r="E7" s="68">
        <v>250</v>
      </c>
      <c r="F7" s="2">
        <v>1970</v>
      </c>
      <c r="G7" s="68">
        <v>70</v>
      </c>
      <c r="H7" s="25">
        <f t="shared" si="4"/>
        <v>17500</v>
      </c>
      <c r="J7" s="26">
        <f t="shared" si="0"/>
        <v>12192.578125</v>
      </c>
      <c r="K7" s="27">
        <f t="shared" si="1"/>
        <v>3170.0703125</v>
      </c>
      <c r="L7" s="95">
        <f t="shared" si="2"/>
        <v>8350.234375</v>
      </c>
      <c r="M7" s="104">
        <f t="shared" si="3"/>
        <v>2087.55859375</v>
      </c>
      <c r="O7" s="49">
        <f>AB33*Y$35*12*((60-Y$36)/60)</f>
        <v>1712.6666666666665</v>
      </c>
      <c r="P7" s="50">
        <f>$AB33*$Y$35*12*((60-$Y$37)/60)</f>
        <v>2226.4666666666667</v>
      </c>
      <c r="R7" s="264"/>
      <c r="S7" s="265"/>
    </row>
    <row r="8" spans="2:19" ht="15" x14ac:dyDescent="0.2">
      <c r="B8" s="54" t="s">
        <v>12</v>
      </c>
      <c r="C8" s="55" t="s">
        <v>17</v>
      </c>
      <c r="D8" s="55"/>
      <c r="E8" s="69">
        <v>120</v>
      </c>
      <c r="F8" s="56"/>
      <c r="G8" s="69">
        <v>75</v>
      </c>
      <c r="H8" s="57">
        <f t="shared" si="4"/>
        <v>9000</v>
      </c>
      <c r="I8" s="56"/>
      <c r="J8" s="58">
        <f t="shared" si="0"/>
        <v>6270.46875</v>
      </c>
      <c r="K8" s="59">
        <f t="shared" si="1"/>
        <v>1630.3218750000001</v>
      </c>
      <c r="L8" s="105">
        <f t="shared" si="2"/>
        <v>4294.40625</v>
      </c>
      <c r="M8" s="106">
        <f t="shared" si="3"/>
        <v>1073.6015625</v>
      </c>
      <c r="N8" s="56"/>
      <c r="O8" s="60">
        <f>$AC33*$Y$35*12*((60-$Y$36)/60)</f>
        <v>849.33333333333326</v>
      </c>
      <c r="P8" s="61">
        <f>$AC33*$Y$35*12*((60-$Y$37)/60)</f>
        <v>1104.1333333333334</v>
      </c>
      <c r="R8" s="266"/>
      <c r="S8" s="267"/>
    </row>
    <row r="9" spans="2:19" x14ac:dyDescent="0.2">
      <c r="B9" s="24"/>
      <c r="C9" s="13" t="s">
        <v>18</v>
      </c>
      <c r="E9" s="68">
        <v>160</v>
      </c>
      <c r="G9" s="68">
        <v>70</v>
      </c>
      <c r="H9" s="25">
        <f t="shared" si="4"/>
        <v>11200</v>
      </c>
      <c r="J9" s="26">
        <f t="shared" si="0"/>
        <v>7803.25</v>
      </c>
      <c r="K9" s="27">
        <f t="shared" si="1"/>
        <v>2028.845</v>
      </c>
      <c r="L9" s="95">
        <f t="shared" si="2"/>
        <v>5344.15</v>
      </c>
      <c r="M9" s="104">
        <f t="shared" si="3"/>
        <v>1336.0374999999999</v>
      </c>
      <c r="O9" s="49">
        <f>$AD33*$Y$35*12*((60-$Y$36)/60)</f>
        <v>1152.6666666666665</v>
      </c>
      <c r="P9" s="50">
        <f>$AD33*$Y$35*12*((60-$Y$37)/60)</f>
        <v>1498.4666666666665</v>
      </c>
    </row>
    <row r="10" spans="2:19" x14ac:dyDescent="0.2">
      <c r="B10" s="24"/>
      <c r="C10" s="13" t="s">
        <v>19</v>
      </c>
      <c r="E10" s="68">
        <v>210</v>
      </c>
      <c r="G10" s="68">
        <v>85</v>
      </c>
      <c r="H10" s="25">
        <f t="shared" si="4"/>
        <v>17850</v>
      </c>
      <c r="J10" s="26">
        <f t="shared" si="0"/>
        <v>12436.4296875</v>
      </c>
      <c r="K10" s="27">
        <f t="shared" si="1"/>
        <v>3233.47171875</v>
      </c>
      <c r="L10" s="95">
        <f t="shared" si="2"/>
        <v>8517.2390624999989</v>
      </c>
      <c r="M10" s="104">
        <f t="shared" si="3"/>
        <v>2129.3097656249997</v>
      </c>
      <c r="O10" s="49">
        <f>$AE33*$Y$35*12*((60-$Y$36)/60)</f>
        <v>1409.3333333333333</v>
      </c>
      <c r="P10" s="50">
        <f>$AE33*$Y$35*12*((60-$Y$37)/60)</f>
        <v>1832.1333333333334</v>
      </c>
    </row>
    <row r="11" spans="2:19" x14ac:dyDescent="0.2">
      <c r="B11" s="24"/>
      <c r="C11" s="13" t="s">
        <v>20</v>
      </c>
      <c r="E11" s="68">
        <v>250</v>
      </c>
      <c r="G11" s="68">
        <v>90</v>
      </c>
      <c r="H11" s="25">
        <f t="shared" si="4"/>
        <v>22500</v>
      </c>
      <c r="J11" s="26">
        <f t="shared" si="0"/>
        <v>15676.171875</v>
      </c>
      <c r="K11" s="27">
        <f t="shared" si="1"/>
        <v>4075.8046875</v>
      </c>
      <c r="L11" s="95">
        <f t="shared" si="2"/>
        <v>10736.015624999998</v>
      </c>
      <c r="M11" s="104">
        <f t="shared" si="3"/>
        <v>2684.0039062499995</v>
      </c>
      <c r="O11" s="49">
        <f>$AF33*$Y$35*12*((60-$Y$36)/60)</f>
        <v>1731.3333333333333</v>
      </c>
      <c r="P11" s="50">
        <f>$AF33*$Y$35*12*((60-$Y$37)/60)</f>
        <v>2250.7333333333336</v>
      </c>
    </row>
    <row r="12" spans="2:19" x14ac:dyDescent="0.2">
      <c r="B12" s="54" t="s">
        <v>13</v>
      </c>
      <c r="C12" s="55" t="s">
        <v>17</v>
      </c>
      <c r="D12" s="55"/>
      <c r="E12" s="69">
        <v>120</v>
      </c>
      <c r="F12" s="56"/>
      <c r="G12" s="69">
        <v>100</v>
      </c>
      <c r="H12" s="57">
        <f t="shared" si="4"/>
        <v>12000</v>
      </c>
      <c r="I12" s="56"/>
      <c r="J12" s="58">
        <f t="shared" si="0"/>
        <v>8360.625</v>
      </c>
      <c r="K12" s="59">
        <f t="shared" si="1"/>
        <v>2173.7625000000003</v>
      </c>
      <c r="L12" s="105">
        <f t="shared" si="2"/>
        <v>5725.8749999999991</v>
      </c>
      <c r="M12" s="106">
        <f t="shared" si="3"/>
        <v>1431.4687499999998</v>
      </c>
      <c r="N12" s="56"/>
      <c r="O12" s="60">
        <f>$AG33*$Y$35*12*((60-$Y$36)/60)</f>
        <v>919.33333333333326</v>
      </c>
      <c r="P12" s="61">
        <f>$AG33*$Y$35*12*((60-$Y$37)/60)</f>
        <v>1195.1333333333334</v>
      </c>
    </row>
    <row r="13" spans="2:19" x14ac:dyDescent="0.2">
      <c r="B13" s="24"/>
      <c r="C13" s="13" t="s">
        <v>18</v>
      </c>
      <c r="E13" s="68">
        <v>160</v>
      </c>
      <c r="G13" s="68">
        <v>110</v>
      </c>
      <c r="H13" s="25">
        <f t="shared" si="4"/>
        <v>17600</v>
      </c>
      <c r="J13" s="26">
        <f t="shared" si="0"/>
        <v>12262.25</v>
      </c>
      <c r="K13" s="27">
        <f t="shared" si="1"/>
        <v>3188.1849999999999</v>
      </c>
      <c r="L13" s="95">
        <f t="shared" si="2"/>
        <v>8397.9499999999989</v>
      </c>
      <c r="M13" s="104">
        <f t="shared" si="3"/>
        <v>2099.4874999999997</v>
      </c>
      <c r="O13" s="49">
        <f>$AH33*$Y$35*12*((60-$Y$36)/60)</f>
        <v>1236.666666666667</v>
      </c>
      <c r="P13" s="50">
        <f>$AH33*$Y$35*12*((60-$Y$37)/60)</f>
        <v>1607.6666666666672</v>
      </c>
    </row>
    <row r="14" spans="2:19" x14ac:dyDescent="0.2">
      <c r="B14" s="24"/>
      <c r="C14" s="13" t="s">
        <v>19</v>
      </c>
      <c r="E14" s="68">
        <v>210</v>
      </c>
      <c r="G14" s="68">
        <v>120</v>
      </c>
      <c r="H14" s="25">
        <f t="shared" si="4"/>
        <v>25200</v>
      </c>
      <c r="J14" s="26">
        <f t="shared" si="0"/>
        <v>17557.3125</v>
      </c>
      <c r="K14" s="27">
        <f t="shared" si="1"/>
        <v>4564.9012499999999</v>
      </c>
      <c r="L14" s="95">
        <f t="shared" si="2"/>
        <v>12024.3375</v>
      </c>
      <c r="M14" s="104">
        <f t="shared" si="3"/>
        <v>3006.0843749999999</v>
      </c>
      <c r="O14" s="49">
        <f>$AI33*$Y$35*12*((60-$Y$36)/60)</f>
        <v>1544.6666666666672</v>
      </c>
      <c r="P14" s="50">
        <f>$AI33*$Y$35*12*((60-$Y$37)/60)</f>
        <v>2008.0666666666675</v>
      </c>
    </row>
    <row r="15" spans="2:19" x14ac:dyDescent="0.2">
      <c r="B15" s="28"/>
      <c r="C15" s="29" t="s">
        <v>20</v>
      </c>
      <c r="D15" s="29"/>
      <c r="E15" s="70">
        <v>250</v>
      </c>
      <c r="F15" s="21"/>
      <c r="G15" s="70">
        <v>130</v>
      </c>
      <c r="H15" s="30">
        <f t="shared" si="4"/>
        <v>32500</v>
      </c>
      <c r="J15" s="31">
        <f t="shared" si="0"/>
        <v>22643.359375</v>
      </c>
      <c r="K15" s="32">
        <f t="shared" si="1"/>
        <v>5887.2734375</v>
      </c>
      <c r="L15" s="100">
        <f t="shared" si="2"/>
        <v>15507.578124999998</v>
      </c>
      <c r="M15" s="107">
        <f t="shared" si="3"/>
        <v>3876.8945312499995</v>
      </c>
      <c r="O15" s="51">
        <f>$AG33*$Y$35*12*((60-$Y$36)/60)</f>
        <v>919.33333333333326</v>
      </c>
      <c r="P15" s="52">
        <f>$AJ33*$Y$35*12*((60-$Y$37)/60)</f>
        <v>2845.2666666666673</v>
      </c>
    </row>
    <row r="16" spans="2:19" x14ac:dyDescent="0.2">
      <c r="J16" s="26"/>
      <c r="K16" s="27"/>
      <c r="L16" s="95"/>
      <c r="M16" s="108"/>
    </row>
    <row r="17" spans="2:36" ht="13.5" customHeight="1" x14ac:dyDescent="0.2">
      <c r="B17" s="34"/>
      <c r="C17" s="35"/>
      <c r="D17" s="35"/>
      <c r="E17" s="20"/>
      <c r="F17" s="20"/>
      <c r="G17" s="20"/>
      <c r="H17" s="36"/>
      <c r="J17" s="236" t="s">
        <v>185</v>
      </c>
      <c r="K17" s="237"/>
      <c r="L17" s="234" t="s">
        <v>71</v>
      </c>
      <c r="M17" s="235"/>
    </row>
    <row r="18" spans="2:36" x14ac:dyDescent="0.2">
      <c r="B18" s="24"/>
      <c r="H18" s="25"/>
      <c r="J18" s="238"/>
      <c r="K18" s="239"/>
      <c r="L18" s="240"/>
      <c r="M18" s="241"/>
      <c r="O18" s="2"/>
      <c r="Q18" s="13"/>
      <c r="R18" s="2"/>
      <c r="W18" s="13"/>
      <c r="Z18" s="2"/>
      <c r="AA18" s="13"/>
      <c r="AD18" s="2"/>
      <c r="AE18" s="13"/>
      <c r="AH18" s="2"/>
    </row>
    <row r="19" spans="2:36" x14ac:dyDescent="0.2">
      <c r="B19" s="37"/>
      <c r="H19" s="25"/>
      <c r="J19" s="63">
        <v>0.3</v>
      </c>
      <c r="K19" s="64">
        <v>0.46</v>
      </c>
      <c r="L19" s="109">
        <v>0.3</v>
      </c>
      <c r="M19" s="110">
        <v>0.45</v>
      </c>
      <c r="N19" s="38"/>
      <c r="O19" s="38"/>
      <c r="P19" s="38"/>
      <c r="R19" s="151" t="s">
        <v>167</v>
      </c>
      <c r="S19" s="256">
        <v>2023</v>
      </c>
      <c r="T19" s="257"/>
      <c r="U19" s="258">
        <v>2024</v>
      </c>
      <c r="V19" s="259"/>
      <c r="X19" s="161" t="s">
        <v>166</v>
      </c>
      <c r="Y19" s="247" t="s">
        <v>51</v>
      </c>
      <c r="Z19" s="248"/>
      <c r="AA19" s="248"/>
      <c r="AB19" s="249"/>
      <c r="AC19" s="247" t="s">
        <v>52</v>
      </c>
      <c r="AD19" s="248"/>
      <c r="AE19" s="248"/>
      <c r="AF19" s="249"/>
      <c r="AG19" s="247" t="s">
        <v>53</v>
      </c>
      <c r="AH19" s="248"/>
      <c r="AI19" s="248"/>
      <c r="AJ19" s="249"/>
    </row>
    <row r="20" spans="2:36" x14ac:dyDescent="0.2">
      <c r="B20" s="37" t="s">
        <v>26</v>
      </c>
      <c r="C20" s="13" t="s">
        <v>15</v>
      </c>
      <c r="D20" s="13" t="s">
        <v>27</v>
      </c>
      <c r="E20" s="68">
        <v>25</v>
      </c>
      <c r="G20" s="68">
        <v>340</v>
      </c>
      <c r="H20" s="25">
        <v>8500</v>
      </c>
      <c r="J20" s="26">
        <f>H20*J$19*((T$35+T$37)*T$36)/100</f>
        <v>2486.2117500000004</v>
      </c>
      <c r="K20" s="40">
        <f>(H20*K$19*((T$35+T$37)*T$36)/100)-(H20*J$19*((T$35+T$37)*T$36)/100)</f>
        <v>1325.9795999999997</v>
      </c>
      <c r="L20" s="95">
        <f>H20*L$19*((V$35+V$37)*V$36)/100</f>
        <v>1991.1643125000003</v>
      </c>
      <c r="M20" s="96">
        <f>(H20*M$19*((V$35+V$37)*V$36)/100)-(H20*L$19*((V$35+V$37)*V$36)/100)</f>
        <v>995.58215625000025</v>
      </c>
      <c r="N20" s="39"/>
      <c r="O20" s="39"/>
      <c r="P20" s="39"/>
      <c r="R20" s="152"/>
      <c r="S20" s="153" t="s">
        <v>48</v>
      </c>
      <c r="T20" s="154" t="s">
        <v>49</v>
      </c>
      <c r="U20" s="111" t="s">
        <v>42</v>
      </c>
      <c r="V20" s="112" t="s">
        <v>41</v>
      </c>
      <c r="X20" s="162"/>
      <c r="Y20" s="148" t="s">
        <v>17</v>
      </c>
      <c r="Z20" s="194" t="s">
        <v>18</v>
      </c>
      <c r="AA20" s="194" t="s">
        <v>19</v>
      </c>
      <c r="AB20" s="149" t="s">
        <v>20</v>
      </c>
      <c r="AC20" s="148" t="s">
        <v>17</v>
      </c>
      <c r="AD20" s="194" t="s">
        <v>18</v>
      </c>
      <c r="AE20" s="194" t="s">
        <v>19</v>
      </c>
      <c r="AF20" s="149" t="s">
        <v>20</v>
      </c>
      <c r="AG20" s="148" t="s">
        <v>17</v>
      </c>
      <c r="AH20" s="194" t="s">
        <v>18</v>
      </c>
      <c r="AI20" s="194" t="s">
        <v>19</v>
      </c>
      <c r="AJ20" s="149" t="s">
        <v>20</v>
      </c>
    </row>
    <row r="21" spans="2:36" x14ac:dyDescent="0.2">
      <c r="B21" s="24"/>
      <c r="C21" s="92"/>
      <c r="D21" s="92"/>
      <c r="E21" s="93"/>
      <c r="F21" s="93"/>
      <c r="G21" s="93"/>
      <c r="H21" s="94"/>
      <c r="I21" s="93"/>
      <c r="J21" s="95">
        <f>H21*J$19*((T$35+T$37)*T$36)/100</f>
        <v>0</v>
      </c>
      <c r="K21" s="96">
        <f>(H21*K$19*((T$35+T$37)*T$36)/100)-(H21*J$19*((T$35+T$37)*T$36)/100)</f>
        <v>0</v>
      </c>
      <c r="L21" s="95">
        <f>H21*L$19*((V$35+V$37)*V$36)/100</f>
        <v>0</v>
      </c>
      <c r="M21" s="96">
        <f>(H21*M$19*((V$35+V$37)*V$36)/100)-(H21*L$19*((V$35+V$37)*V$36)/100)</f>
        <v>0</v>
      </c>
      <c r="N21" s="39"/>
      <c r="O21" s="39"/>
      <c r="P21" s="39"/>
      <c r="R21" s="11" t="s">
        <v>29</v>
      </c>
      <c r="S21" s="65">
        <v>70.38</v>
      </c>
      <c r="T21" s="16">
        <f t="shared" ref="T21:T32" si="5">(S21+10)*1.25</f>
        <v>100.47499999999999</v>
      </c>
      <c r="U21" s="113">
        <v>61.2</v>
      </c>
      <c r="V21" s="114">
        <f t="shared" ref="V21:V32" si="6">(U21+10)*1.25</f>
        <v>89</v>
      </c>
      <c r="W21" s="41"/>
      <c r="X21" s="11" t="s">
        <v>29</v>
      </c>
      <c r="Y21" s="4">
        <v>1.7</v>
      </c>
      <c r="Z21" s="5">
        <v>2.4</v>
      </c>
      <c r="AA21" s="5">
        <v>3</v>
      </c>
      <c r="AB21" s="6">
        <v>4.2</v>
      </c>
      <c r="AC21" s="4">
        <v>2.2999999999999998</v>
      </c>
      <c r="AD21" s="5">
        <v>3</v>
      </c>
      <c r="AE21" s="5">
        <v>3.7</v>
      </c>
      <c r="AF21" s="6">
        <v>4.8</v>
      </c>
      <c r="AG21" s="4">
        <v>3</v>
      </c>
      <c r="AH21" s="5">
        <v>4</v>
      </c>
      <c r="AI21" s="5">
        <v>5.5</v>
      </c>
      <c r="AJ21" s="6">
        <v>8</v>
      </c>
    </row>
    <row r="22" spans="2:36" x14ac:dyDescent="0.2">
      <c r="B22" s="24"/>
      <c r="C22" s="92"/>
      <c r="D22" s="92"/>
      <c r="E22" s="93"/>
      <c r="F22" s="93"/>
      <c r="G22" s="93"/>
      <c r="H22" s="94"/>
      <c r="I22" s="93"/>
      <c r="J22" s="95">
        <f>H22*J$19*((T$35+T$37)*T$36)/100</f>
        <v>0</v>
      </c>
      <c r="K22" s="96">
        <f>(H22*K$19*((T$35+T$37)*T$36)/100)-(H22*J$19*((T$35+T$37)*T$36)/100)</f>
        <v>0</v>
      </c>
      <c r="L22" s="95">
        <f>H22*L$19*((V$35+V$37)*V$36)/100</f>
        <v>0</v>
      </c>
      <c r="M22" s="96">
        <f>(H22*M$19*((V$35+V$37)*V$36)/100)-(H22*L$19*((V$35+V$37)*V$36)/100)</f>
        <v>0</v>
      </c>
      <c r="N22" s="39"/>
      <c r="O22" s="39"/>
      <c r="P22" s="39"/>
      <c r="R22" s="11" t="s">
        <v>30</v>
      </c>
      <c r="S22" s="65">
        <v>52.03</v>
      </c>
      <c r="T22" s="16">
        <f t="shared" si="5"/>
        <v>77.537499999999994</v>
      </c>
      <c r="U22" s="113">
        <v>44.94</v>
      </c>
      <c r="V22" s="114">
        <f t="shared" si="6"/>
        <v>68.674999999999997</v>
      </c>
      <c r="W22" s="41"/>
      <c r="X22" s="11" t="s">
        <v>30</v>
      </c>
      <c r="Y22" s="4">
        <v>1.7</v>
      </c>
      <c r="Z22" s="5">
        <v>2.4</v>
      </c>
      <c r="AA22" s="5">
        <v>3</v>
      </c>
      <c r="AB22" s="6">
        <v>4.2</v>
      </c>
      <c r="AC22" s="4">
        <v>2.5</v>
      </c>
      <c r="AD22" s="5">
        <v>3</v>
      </c>
      <c r="AE22" s="5">
        <v>3.7</v>
      </c>
      <c r="AF22" s="6">
        <v>4.8</v>
      </c>
      <c r="AG22" s="4">
        <v>3</v>
      </c>
      <c r="AH22" s="5">
        <v>4</v>
      </c>
      <c r="AI22" s="5">
        <v>5.5</v>
      </c>
      <c r="AJ22" s="6">
        <v>8</v>
      </c>
    </row>
    <row r="23" spans="2:36" x14ac:dyDescent="0.2">
      <c r="B23" s="28"/>
      <c r="C23" s="97"/>
      <c r="D23" s="97"/>
      <c r="E23" s="98"/>
      <c r="F23" s="98"/>
      <c r="G23" s="98"/>
      <c r="H23" s="99"/>
      <c r="I23" s="93"/>
      <c r="J23" s="100">
        <f>H23*J$19*((T$35+T$37)*T$36)/100</f>
        <v>0</v>
      </c>
      <c r="K23" s="101">
        <f>(H23*K$19*((T$35+T$37)*T$36)/100)-(H23*J$19*((T$35+T$37)*T$36)/100)</f>
        <v>0</v>
      </c>
      <c r="L23" s="100">
        <f>H23*L$19*((V$35+V$37)*V$36)/100</f>
        <v>0</v>
      </c>
      <c r="M23" s="101">
        <f>(H23*M$19*((V$35+V$37)*V$36)/100)-(H23*L$19*((V$35+V$37)*V$36)/100)</f>
        <v>0</v>
      </c>
      <c r="N23" s="39"/>
      <c r="O23" s="39"/>
      <c r="P23" s="39"/>
      <c r="R23" s="11" t="s">
        <v>31</v>
      </c>
      <c r="S23" s="65">
        <v>56.49</v>
      </c>
      <c r="T23" s="16">
        <f t="shared" si="5"/>
        <v>83.112500000000011</v>
      </c>
      <c r="U23" s="113">
        <v>56.61</v>
      </c>
      <c r="V23" s="114">
        <f t="shared" si="6"/>
        <v>83.262500000000003</v>
      </c>
      <c r="W23" s="41"/>
      <c r="X23" s="11" t="s">
        <v>31</v>
      </c>
      <c r="Y23" s="4">
        <v>1.6</v>
      </c>
      <c r="Z23" s="5">
        <v>2.2999999999999998</v>
      </c>
      <c r="AA23" s="5">
        <v>2.6</v>
      </c>
      <c r="AB23" s="6">
        <v>3.8</v>
      </c>
      <c r="AC23" s="4">
        <v>2</v>
      </c>
      <c r="AD23" s="5">
        <v>2.7</v>
      </c>
      <c r="AE23" s="5">
        <v>3.2</v>
      </c>
      <c r="AF23" s="6">
        <v>4</v>
      </c>
      <c r="AG23" s="4">
        <v>2.5</v>
      </c>
      <c r="AH23" s="5">
        <v>3.8</v>
      </c>
      <c r="AI23" s="5">
        <v>4.4000000000000004</v>
      </c>
      <c r="AJ23" s="6">
        <v>6.5</v>
      </c>
    </row>
    <row r="24" spans="2:36" ht="15" thickBot="1" x14ac:dyDescent="0.25">
      <c r="O24" s="2"/>
      <c r="P24" s="2"/>
      <c r="R24" s="11" t="s">
        <v>32</v>
      </c>
      <c r="S24" s="65">
        <v>66.47</v>
      </c>
      <c r="T24" s="16">
        <f t="shared" si="5"/>
        <v>95.587500000000006</v>
      </c>
      <c r="U24" s="113">
        <v>50.79</v>
      </c>
      <c r="V24" s="114">
        <f t="shared" si="6"/>
        <v>75.987499999999997</v>
      </c>
      <c r="W24" s="41"/>
      <c r="X24" s="11" t="s">
        <v>32</v>
      </c>
      <c r="Y24" s="4">
        <v>1.5</v>
      </c>
      <c r="Z24" s="5">
        <v>2</v>
      </c>
      <c r="AA24" s="5">
        <v>2.4</v>
      </c>
      <c r="AB24" s="6">
        <v>3.5</v>
      </c>
      <c r="AC24" s="4">
        <v>1.8</v>
      </c>
      <c r="AD24" s="5">
        <v>2.2000000000000002</v>
      </c>
      <c r="AE24" s="5">
        <v>3</v>
      </c>
      <c r="AF24" s="6">
        <v>3.5</v>
      </c>
      <c r="AG24" s="4">
        <v>2</v>
      </c>
      <c r="AH24" s="5">
        <v>2.8</v>
      </c>
      <c r="AI24" s="5">
        <v>3</v>
      </c>
      <c r="AJ24" s="6">
        <v>4</v>
      </c>
    </row>
    <row r="25" spans="2:36" ht="16" thickTop="1" x14ac:dyDescent="0.2">
      <c r="B25" s="123"/>
      <c r="C25" s="77"/>
      <c r="D25" s="77"/>
      <c r="E25" s="124"/>
      <c r="F25" s="124"/>
      <c r="G25" s="124"/>
      <c r="H25" s="125"/>
      <c r="J25" s="245" t="s">
        <v>84</v>
      </c>
      <c r="K25" s="246"/>
      <c r="L25" s="246"/>
      <c r="M25" s="246"/>
      <c r="N25" s="143"/>
      <c r="O25" s="144">
        <v>2023</v>
      </c>
      <c r="P25" s="2"/>
      <c r="R25" s="11" t="s">
        <v>33</v>
      </c>
      <c r="S25" s="65">
        <v>27.84</v>
      </c>
      <c r="T25" s="16">
        <f t="shared" si="5"/>
        <v>47.300000000000004</v>
      </c>
      <c r="U25" s="113">
        <v>17.64</v>
      </c>
      <c r="V25" s="114">
        <f t="shared" si="6"/>
        <v>34.549999999999997</v>
      </c>
      <c r="W25" s="41"/>
      <c r="X25" s="11" t="s">
        <v>33</v>
      </c>
      <c r="Y25" s="4">
        <v>1</v>
      </c>
      <c r="Z25" s="5">
        <v>1.5</v>
      </c>
      <c r="AA25" s="5">
        <v>1.8</v>
      </c>
      <c r="AB25" s="6">
        <v>2.5</v>
      </c>
      <c r="AC25" s="4">
        <v>1.2</v>
      </c>
      <c r="AD25" s="5">
        <v>1.5</v>
      </c>
      <c r="AE25" s="5">
        <v>2</v>
      </c>
      <c r="AF25" s="6">
        <v>2.4</v>
      </c>
      <c r="AG25" s="4">
        <v>0.8</v>
      </c>
      <c r="AH25" s="5">
        <v>1</v>
      </c>
      <c r="AI25" s="5">
        <v>1</v>
      </c>
      <c r="AJ25" s="6">
        <v>1.5</v>
      </c>
    </row>
    <row r="26" spans="2:36" x14ac:dyDescent="0.2">
      <c r="B26" s="126" t="s">
        <v>28</v>
      </c>
      <c r="C26" s="13" t="s">
        <v>72</v>
      </c>
      <c r="D26" s="13" t="s">
        <v>47</v>
      </c>
      <c r="E26" s="2">
        <v>1500</v>
      </c>
      <c r="F26" s="146">
        <v>0.7</v>
      </c>
      <c r="G26" s="2">
        <v>2</v>
      </c>
      <c r="H26" s="127">
        <f>E26*G26*F26</f>
        <v>2100</v>
      </c>
      <c r="J26" s="83"/>
      <c r="K26" s="79" t="s">
        <v>1</v>
      </c>
      <c r="L26" s="80" t="s">
        <v>2</v>
      </c>
      <c r="M26" s="80" t="s">
        <v>6</v>
      </c>
      <c r="N26" s="78"/>
      <c r="O26" s="84">
        <f>K4+O4</f>
        <v>1886.2360416666668</v>
      </c>
      <c r="P26" s="2"/>
      <c r="R26" s="11" t="s">
        <v>34</v>
      </c>
      <c r="S26" s="65">
        <v>51.61</v>
      </c>
      <c r="T26" s="16">
        <f t="shared" si="5"/>
        <v>77.012500000000003</v>
      </c>
      <c r="U26" s="113">
        <v>24.04</v>
      </c>
      <c r="V26" s="114">
        <f t="shared" si="6"/>
        <v>42.55</v>
      </c>
      <c r="W26" s="41"/>
      <c r="X26" s="11" t="s">
        <v>34</v>
      </c>
      <c r="Y26" s="4">
        <v>0.8</v>
      </c>
      <c r="Z26" s="5">
        <v>1.2</v>
      </c>
      <c r="AA26" s="5">
        <v>1.5</v>
      </c>
      <c r="AB26" s="5">
        <v>2</v>
      </c>
      <c r="AC26" s="4">
        <v>0.8</v>
      </c>
      <c r="AD26" s="5">
        <v>1.2</v>
      </c>
      <c r="AE26" s="5">
        <v>1.5</v>
      </c>
      <c r="AF26" s="5">
        <v>1.8</v>
      </c>
      <c r="AG26" s="4">
        <v>0.6</v>
      </c>
      <c r="AH26" s="5">
        <v>0.6</v>
      </c>
      <c r="AI26" s="5">
        <v>0.6</v>
      </c>
      <c r="AJ26" s="6">
        <v>0.6</v>
      </c>
    </row>
    <row r="27" spans="2:36" x14ac:dyDescent="0.2">
      <c r="B27" s="128"/>
      <c r="C27" s="129"/>
      <c r="D27" s="129"/>
      <c r="E27" s="130"/>
      <c r="F27" s="131"/>
      <c r="G27" s="130"/>
      <c r="H27" s="132"/>
      <c r="J27" s="85"/>
      <c r="K27" s="80"/>
      <c r="L27" s="80"/>
      <c r="M27" s="80" t="s">
        <v>7</v>
      </c>
      <c r="N27" s="78"/>
      <c r="O27" s="84">
        <f>O26+K$20</f>
        <v>3212.2156416666667</v>
      </c>
      <c r="P27" s="2"/>
      <c r="R27" s="11" t="s">
        <v>35</v>
      </c>
      <c r="S27" s="65">
        <v>37.4</v>
      </c>
      <c r="T27" s="16">
        <f t="shared" si="5"/>
        <v>59.25</v>
      </c>
      <c r="U27" s="113">
        <v>20.49</v>
      </c>
      <c r="V27" s="114">
        <f t="shared" si="6"/>
        <v>38.112499999999997</v>
      </c>
      <c r="W27" s="41"/>
      <c r="X27" s="11" t="s">
        <v>35</v>
      </c>
      <c r="Y27" s="4">
        <v>0.8</v>
      </c>
      <c r="Z27" s="5">
        <v>1.2</v>
      </c>
      <c r="AA27" s="5">
        <v>1.5</v>
      </c>
      <c r="AB27" s="5">
        <v>2</v>
      </c>
      <c r="AC27" s="4">
        <v>0.8</v>
      </c>
      <c r="AD27" s="5">
        <v>1.2</v>
      </c>
      <c r="AE27" s="5">
        <v>1.5</v>
      </c>
      <c r="AF27" s="5">
        <v>1.8</v>
      </c>
      <c r="AG27" s="4">
        <v>0.6</v>
      </c>
      <c r="AH27" s="5">
        <v>0.6</v>
      </c>
      <c r="AI27" s="5">
        <v>0.6</v>
      </c>
      <c r="AJ27" s="6">
        <v>0.6</v>
      </c>
    </row>
    <row r="28" spans="2:36" x14ac:dyDescent="0.2">
      <c r="F28" s="42"/>
      <c r="J28" s="85"/>
      <c r="K28" s="80"/>
      <c r="L28" s="80"/>
      <c r="M28" s="80" t="s">
        <v>8</v>
      </c>
      <c r="N28" s="78"/>
      <c r="O28" s="84">
        <f>K4+P4</f>
        <v>2093.4360416666668</v>
      </c>
      <c r="P28" s="2"/>
      <c r="R28" s="11" t="s">
        <v>36</v>
      </c>
      <c r="S28" s="65">
        <v>23.76</v>
      </c>
      <c r="T28" s="16">
        <f t="shared" si="5"/>
        <v>42.2</v>
      </c>
      <c r="U28" s="113">
        <v>8.51</v>
      </c>
      <c r="V28" s="114">
        <f t="shared" si="6"/>
        <v>23.137499999999996</v>
      </c>
      <c r="W28" s="41"/>
      <c r="X28" s="11" t="s">
        <v>36</v>
      </c>
      <c r="Y28" s="4">
        <v>0.8</v>
      </c>
      <c r="Z28" s="5">
        <v>1.2</v>
      </c>
      <c r="AA28" s="5">
        <v>1.5</v>
      </c>
      <c r="AB28" s="5">
        <v>2</v>
      </c>
      <c r="AC28" s="4">
        <v>0.8</v>
      </c>
      <c r="AD28" s="5">
        <v>1.2</v>
      </c>
      <c r="AE28" s="5">
        <v>1.5</v>
      </c>
      <c r="AF28" s="5">
        <v>1.8</v>
      </c>
      <c r="AG28" s="4">
        <v>0.6</v>
      </c>
      <c r="AH28" s="5">
        <v>0.6</v>
      </c>
      <c r="AI28" s="5">
        <v>0.6</v>
      </c>
      <c r="AJ28" s="6">
        <v>0.6</v>
      </c>
    </row>
    <row r="29" spans="2:36" x14ac:dyDescent="0.2">
      <c r="J29" s="85"/>
      <c r="K29" s="80"/>
      <c r="L29" s="80"/>
      <c r="M29" s="80" t="s">
        <v>9</v>
      </c>
      <c r="N29" s="78"/>
      <c r="O29" s="84">
        <f>O28+K$20</f>
        <v>3419.4156416666665</v>
      </c>
      <c r="P29" s="2"/>
      <c r="R29" s="11" t="s">
        <v>37</v>
      </c>
      <c r="S29" s="65">
        <v>10.89</v>
      </c>
      <c r="T29" s="16">
        <f t="shared" si="5"/>
        <v>26.112500000000001</v>
      </c>
      <c r="U29" s="113">
        <v>10.89</v>
      </c>
      <c r="V29" s="114">
        <f t="shared" si="6"/>
        <v>26.112500000000001</v>
      </c>
      <c r="W29" s="41"/>
      <c r="X29" s="11" t="s">
        <v>37</v>
      </c>
      <c r="Y29" s="4">
        <v>0.8</v>
      </c>
      <c r="Z29" s="5">
        <v>1.2</v>
      </c>
      <c r="AA29" s="5">
        <v>1.5</v>
      </c>
      <c r="AB29" s="6">
        <v>2</v>
      </c>
      <c r="AC29" s="4">
        <v>0.8</v>
      </c>
      <c r="AD29" s="5">
        <v>1.2</v>
      </c>
      <c r="AE29" s="5">
        <v>1.5</v>
      </c>
      <c r="AF29" s="6">
        <v>1.8</v>
      </c>
      <c r="AG29" s="4">
        <v>0.6</v>
      </c>
      <c r="AH29" s="5">
        <v>0.6</v>
      </c>
      <c r="AI29" s="5">
        <v>0.6</v>
      </c>
      <c r="AJ29" s="6">
        <v>0.6</v>
      </c>
    </row>
    <row r="30" spans="2:36" x14ac:dyDescent="0.2">
      <c r="J30" s="85"/>
      <c r="K30" s="80"/>
      <c r="L30" s="72" t="s">
        <v>3</v>
      </c>
      <c r="M30" s="72" t="s">
        <v>6</v>
      </c>
      <c r="N30" s="73"/>
      <c r="O30" s="86">
        <f>K5+O5</f>
        <v>2616.0924999999997</v>
      </c>
      <c r="P30" s="2"/>
      <c r="R30" s="11" t="s">
        <v>38</v>
      </c>
      <c r="S30" s="65">
        <v>17.579999999999998</v>
      </c>
      <c r="T30" s="16">
        <f t="shared" si="5"/>
        <v>34.474999999999994</v>
      </c>
      <c r="U30" s="113">
        <v>13.52</v>
      </c>
      <c r="V30" s="114">
        <f t="shared" si="6"/>
        <v>29.4</v>
      </c>
      <c r="W30" s="41"/>
      <c r="X30" s="11" t="s">
        <v>38</v>
      </c>
      <c r="Y30" s="4">
        <v>1</v>
      </c>
      <c r="Z30" s="5">
        <v>2</v>
      </c>
      <c r="AA30" s="5">
        <v>1.8</v>
      </c>
      <c r="AB30" s="6">
        <v>3</v>
      </c>
      <c r="AC30" s="4">
        <v>1</v>
      </c>
      <c r="AD30" s="5">
        <v>2</v>
      </c>
      <c r="AE30" s="5">
        <v>2</v>
      </c>
      <c r="AF30" s="6">
        <v>2.4</v>
      </c>
      <c r="AG30" s="4">
        <v>1</v>
      </c>
      <c r="AH30" s="5">
        <v>1.5</v>
      </c>
      <c r="AI30" s="5">
        <v>2</v>
      </c>
      <c r="AJ30" s="6">
        <v>3</v>
      </c>
    </row>
    <row r="31" spans="2:36" x14ac:dyDescent="0.2">
      <c r="J31" s="85"/>
      <c r="K31" s="80"/>
      <c r="L31" s="80"/>
      <c r="M31" s="80" t="s">
        <v>7</v>
      </c>
      <c r="N31" s="78"/>
      <c r="O31" s="84">
        <f>O30+K$20</f>
        <v>3942.0720999999994</v>
      </c>
      <c r="P31" s="2"/>
      <c r="R31" s="11" t="s">
        <v>39</v>
      </c>
      <c r="S31" s="65">
        <v>60.9</v>
      </c>
      <c r="T31" s="16">
        <f t="shared" si="5"/>
        <v>88.625</v>
      </c>
      <c r="U31" s="113">
        <v>18.09</v>
      </c>
      <c r="V31" s="114">
        <f t="shared" si="6"/>
        <v>35.112499999999997</v>
      </c>
      <c r="W31" s="41"/>
      <c r="X31" s="11" t="s">
        <v>39</v>
      </c>
      <c r="Y31" s="4">
        <v>1.5</v>
      </c>
      <c r="Z31" s="5">
        <v>2.2000000000000002</v>
      </c>
      <c r="AA31" s="5">
        <v>2.4</v>
      </c>
      <c r="AB31" s="6">
        <v>3.5</v>
      </c>
      <c r="AC31" s="4">
        <v>2</v>
      </c>
      <c r="AD31" s="5">
        <v>2.5</v>
      </c>
      <c r="AE31" s="5">
        <v>3</v>
      </c>
      <c r="AF31" s="6">
        <v>3.5</v>
      </c>
      <c r="AG31" s="4">
        <v>2</v>
      </c>
      <c r="AH31" s="5">
        <v>3</v>
      </c>
      <c r="AI31" s="5">
        <v>3.8</v>
      </c>
      <c r="AJ31" s="6">
        <v>6</v>
      </c>
    </row>
    <row r="32" spans="2:36" x14ac:dyDescent="0.2">
      <c r="J32" s="85"/>
      <c r="K32" s="80"/>
      <c r="L32" s="80"/>
      <c r="M32" s="80" t="s">
        <v>8</v>
      </c>
      <c r="N32" s="78"/>
      <c r="O32" s="84">
        <f>K5+P5</f>
        <v>2922.6925000000001</v>
      </c>
      <c r="P32" s="2"/>
      <c r="R32" s="11" t="s">
        <v>40</v>
      </c>
      <c r="S32" s="71">
        <v>73.5</v>
      </c>
      <c r="T32" s="16">
        <f t="shared" si="5"/>
        <v>104.375</v>
      </c>
      <c r="U32" s="113">
        <v>11.35</v>
      </c>
      <c r="V32" s="114">
        <f t="shared" si="6"/>
        <v>26.6875</v>
      </c>
      <c r="W32" s="41"/>
      <c r="X32" s="11" t="s">
        <v>40</v>
      </c>
      <c r="Y32" s="4">
        <v>1.6</v>
      </c>
      <c r="Z32" s="5">
        <v>2.2999999999999998</v>
      </c>
      <c r="AA32" s="5">
        <v>2.6</v>
      </c>
      <c r="AB32" s="6">
        <v>4</v>
      </c>
      <c r="AC32" s="4">
        <v>2.2000000000000002</v>
      </c>
      <c r="AD32" s="5">
        <v>3</v>
      </c>
      <c r="AE32" s="5">
        <v>3.6</v>
      </c>
      <c r="AF32" s="6">
        <v>4.5</v>
      </c>
      <c r="AG32" s="4">
        <v>3</v>
      </c>
      <c r="AH32" s="5">
        <v>4</v>
      </c>
      <c r="AI32" s="5">
        <v>5.5</v>
      </c>
      <c r="AJ32" s="6">
        <v>7.5</v>
      </c>
    </row>
    <row r="33" spans="8:36" x14ac:dyDescent="0.2">
      <c r="J33" s="85"/>
      <c r="K33" s="80"/>
      <c r="L33" s="80"/>
      <c r="M33" s="80" t="s">
        <v>9</v>
      </c>
      <c r="N33" s="78"/>
      <c r="O33" s="84">
        <f>O32+K$20</f>
        <v>4248.6720999999998</v>
      </c>
      <c r="P33" s="2"/>
      <c r="R33" s="14" t="s">
        <v>43</v>
      </c>
      <c r="S33" s="17">
        <f>SUM(S21:S32)/12</f>
        <v>45.73749999999999</v>
      </c>
      <c r="T33" s="18">
        <f>SUM(T21:T32)/12</f>
        <v>69.671875</v>
      </c>
      <c r="U33" s="115">
        <f>SUM(U21:U32)/12</f>
        <v>28.172499999999996</v>
      </c>
      <c r="V33" s="116">
        <f>SUM(V21:V32)/12</f>
        <v>47.715624999999996</v>
      </c>
      <c r="W33" s="19"/>
      <c r="X33" s="14" t="s">
        <v>43</v>
      </c>
      <c r="Y33" s="17">
        <v>1.2333333333333336</v>
      </c>
      <c r="Z33" s="43">
        <v>1.825</v>
      </c>
      <c r="AA33" s="43">
        <v>2.1333333333333333</v>
      </c>
      <c r="AB33" s="18">
        <v>3.0583333333333336</v>
      </c>
      <c r="AC33" s="17">
        <v>1.5166666666666666</v>
      </c>
      <c r="AD33" s="43">
        <v>2.0583333333333331</v>
      </c>
      <c r="AE33" s="43">
        <v>2.5166666666666671</v>
      </c>
      <c r="AF33" s="18">
        <v>3.0916666666666668</v>
      </c>
      <c r="AG33" s="17">
        <v>1.6416666666666666</v>
      </c>
      <c r="AH33" s="43">
        <v>2.2083333333333339</v>
      </c>
      <c r="AI33" s="43">
        <v>2.7583333333333342</v>
      </c>
      <c r="AJ33" s="18">
        <v>3.9083333333333337</v>
      </c>
    </row>
    <row r="34" spans="8:36" x14ac:dyDescent="0.2">
      <c r="J34" s="85"/>
      <c r="K34" s="80"/>
      <c r="L34" s="72" t="s">
        <v>4</v>
      </c>
      <c r="M34" s="72" t="s">
        <v>6</v>
      </c>
      <c r="N34" s="73"/>
      <c r="O34" s="86">
        <f>K6+O6</f>
        <v>3477.1172916666665</v>
      </c>
      <c r="P34" s="2"/>
      <c r="R34" s="15"/>
      <c r="S34" s="19"/>
      <c r="T34" s="19"/>
      <c r="U34" s="117"/>
      <c r="V34" s="117"/>
      <c r="W34" s="19"/>
      <c r="X34" s="163" t="s">
        <v>54</v>
      </c>
      <c r="Y34" s="36">
        <v>6</v>
      </c>
      <c r="Z34" s="2">
        <v>8</v>
      </c>
      <c r="AA34" s="2">
        <v>10</v>
      </c>
      <c r="AB34" s="2">
        <v>14</v>
      </c>
      <c r="AC34" s="2">
        <v>6</v>
      </c>
      <c r="AD34" s="2">
        <v>8</v>
      </c>
      <c r="AE34" s="2">
        <v>10</v>
      </c>
      <c r="AF34" s="2">
        <v>14</v>
      </c>
      <c r="AG34" s="2">
        <v>6</v>
      </c>
      <c r="AH34" s="2">
        <v>8</v>
      </c>
      <c r="AI34" s="2">
        <v>10</v>
      </c>
      <c r="AJ34" s="2">
        <v>14</v>
      </c>
    </row>
    <row r="35" spans="8:36" x14ac:dyDescent="0.2">
      <c r="J35" s="85"/>
      <c r="K35" s="80"/>
      <c r="L35" s="80"/>
      <c r="M35" s="80" t="s">
        <v>7</v>
      </c>
      <c r="N35" s="78"/>
      <c r="O35" s="84">
        <f>O34+K$20</f>
        <v>4803.0968916666661</v>
      </c>
      <c r="P35" s="2"/>
      <c r="R35" s="155" t="s">
        <v>45</v>
      </c>
      <c r="S35" s="167" t="s">
        <v>46</v>
      </c>
      <c r="T35" s="168">
        <f>SUM(T25:T30)/6</f>
        <v>47.725000000000001</v>
      </c>
      <c r="U35" s="118"/>
      <c r="V35" s="119">
        <f>SUM(V25:V30)/6</f>
        <v>32.310416666666669</v>
      </c>
      <c r="W35" s="5"/>
      <c r="X35" s="164" t="s">
        <v>55</v>
      </c>
      <c r="Y35" s="158">
        <v>70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8:36" x14ac:dyDescent="0.2">
      <c r="J36" s="85"/>
      <c r="K36" s="80"/>
      <c r="L36" s="80"/>
      <c r="M36" s="80" t="s">
        <v>8</v>
      </c>
      <c r="N36" s="78"/>
      <c r="O36" s="84">
        <f>K6+P6</f>
        <v>3835.5172916666666</v>
      </c>
      <c r="P36" s="2"/>
      <c r="R36" s="156" t="s">
        <v>50</v>
      </c>
      <c r="S36" s="169"/>
      <c r="T36" s="66">
        <v>0.66</v>
      </c>
      <c r="U36" s="93"/>
      <c r="V36" s="120">
        <v>0.66</v>
      </c>
      <c r="W36" s="42"/>
      <c r="X36" s="165" t="s">
        <v>58</v>
      </c>
      <c r="Y36" s="159">
        <v>20</v>
      </c>
      <c r="AA36" s="13"/>
      <c r="AB36" s="13"/>
      <c r="AC36" s="13"/>
      <c r="AE36" s="13"/>
      <c r="AF36" s="13"/>
      <c r="AG36" s="13"/>
    </row>
    <row r="37" spans="8:36" x14ac:dyDescent="0.2">
      <c r="J37" s="85"/>
      <c r="K37" s="80"/>
      <c r="L37" s="80"/>
      <c r="M37" s="80" t="s">
        <v>9</v>
      </c>
      <c r="N37" s="78"/>
      <c r="O37" s="84">
        <f>O36+K$20</f>
        <v>5161.4968916666658</v>
      </c>
      <c r="P37" s="2"/>
      <c r="R37" s="157" t="s">
        <v>44</v>
      </c>
      <c r="S37" s="150"/>
      <c r="T37" s="67">
        <v>100</v>
      </c>
      <c r="U37" s="98"/>
      <c r="V37" s="121">
        <v>86</v>
      </c>
      <c r="W37" s="15"/>
      <c r="X37" s="166" t="s">
        <v>67</v>
      </c>
      <c r="Y37" s="160">
        <v>8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8:36" x14ac:dyDescent="0.2">
      <c r="J38" s="85"/>
      <c r="K38" s="80"/>
      <c r="L38" s="72" t="s">
        <v>5</v>
      </c>
      <c r="M38" s="72" t="s">
        <v>6</v>
      </c>
      <c r="N38" s="73"/>
      <c r="O38" s="86">
        <f>K7+O7</f>
        <v>4882.7369791666661</v>
      </c>
      <c r="U38" s="15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8:36" x14ac:dyDescent="0.2">
      <c r="J39" s="85"/>
      <c r="K39" s="80"/>
      <c r="L39" s="80"/>
      <c r="M39" s="80" t="s">
        <v>7</v>
      </c>
      <c r="N39" s="78"/>
      <c r="O39" s="84">
        <f>O38+K$20</f>
        <v>6208.7165791666657</v>
      </c>
      <c r="U39" s="15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8:36" x14ac:dyDescent="0.2">
      <c r="J40" s="85"/>
      <c r="K40" s="80"/>
      <c r="L40" s="80"/>
      <c r="M40" s="80" t="s">
        <v>8</v>
      </c>
      <c r="N40" s="78"/>
      <c r="O40" s="84">
        <f>K7+P7</f>
        <v>5396.5369791666672</v>
      </c>
      <c r="U40" s="15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8:36" x14ac:dyDescent="0.2">
      <c r="J41" s="85"/>
      <c r="K41" s="80"/>
      <c r="L41" s="80"/>
      <c r="M41" s="80" t="s">
        <v>9</v>
      </c>
      <c r="N41" s="78"/>
      <c r="O41" s="84">
        <f>O40+K$20</f>
        <v>6722.5165791666668</v>
      </c>
      <c r="U41" s="15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8:36" x14ac:dyDescent="0.2">
      <c r="J42" s="85"/>
      <c r="K42" s="74" t="s">
        <v>12</v>
      </c>
      <c r="L42" s="75" t="s">
        <v>2</v>
      </c>
      <c r="M42" s="75" t="s">
        <v>6</v>
      </c>
      <c r="N42" s="76"/>
      <c r="O42" s="87">
        <f>K8+O8</f>
        <v>2479.6552083333336</v>
      </c>
      <c r="U42" s="15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8:36" x14ac:dyDescent="0.2">
      <c r="J43" s="85"/>
      <c r="K43" s="80"/>
      <c r="L43" s="80"/>
      <c r="M43" s="80" t="s">
        <v>7</v>
      </c>
      <c r="N43" s="78"/>
      <c r="O43" s="84">
        <f>O42+K$20</f>
        <v>3805.6348083333332</v>
      </c>
      <c r="U43" s="15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8:36" x14ac:dyDescent="0.2">
      <c r="J44" s="85"/>
      <c r="K44" s="80"/>
      <c r="L44" s="80"/>
      <c r="M44" s="80" t="s">
        <v>8</v>
      </c>
      <c r="N44" s="78"/>
      <c r="O44" s="84">
        <f>K8+P8</f>
        <v>2734.4552083333338</v>
      </c>
      <c r="U44" s="15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8:36" x14ac:dyDescent="0.2">
      <c r="J45" s="85"/>
      <c r="K45" s="80"/>
      <c r="L45" s="80"/>
      <c r="M45" s="80" t="s">
        <v>9</v>
      </c>
      <c r="N45" s="78"/>
      <c r="O45" s="84">
        <f>O44+K$20</f>
        <v>4060.4348083333334</v>
      </c>
      <c r="U45" s="15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8:36" x14ac:dyDescent="0.2">
      <c r="I46" s="15"/>
      <c r="J46" s="85"/>
      <c r="K46" s="80"/>
      <c r="L46" s="72" t="s">
        <v>3</v>
      </c>
      <c r="M46" s="72" t="s">
        <v>6</v>
      </c>
      <c r="N46" s="73"/>
      <c r="O46" s="86">
        <f>K9+O9</f>
        <v>3181.5116666666663</v>
      </c>
      <c r="U46" s="15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8:36" x14ac:dyDescent="0.2">
      <c r="H47" s="15"/>
      <c r="I47" s="15"/>
      <c r="J47" s="85"/>
      <c r="K47" s="80"/>
      <c r="L47" s="80"/>
      <c r="M47" s="80" t="s">
        <v>7</v>
      </c>
      <c r="N47" s="78"/>
      <c r="O47" s="84">
        <f>O46+K$20</f>
        <v>4507.491266666666</v>
      </c>
      <c r="U47" s="15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8:36" x14ac:dyDescent="0.2">
      <c r="H48" s="15"/>
      <c r="I48" s="13"/>
      <c r="J48" s="85"/>
      <c r="K48" s="80"/>
      <c r="L48" s="80"/>
      <c r="M48" s="80" t="s">
        <v>8</v>
      </c>
      <c r="N48" s="78"/>
      <c r="O48" s="84">
        <f>K9+P9</f>
        <v>3527.3116666666665</v>
      </c>
      <c r="U48" s="15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7:33" x14ac:dyDescent="0.2">
      <c r="H49" s="13"/>
      <c r="I49" s="19"/>
      <c r="J49" s="85"/>
      <c r="K49" s="80"/>
      <c r="L49" s="80"/>
      <c r="M49" s="80" t="s">
        <v>9</v>
      </c>
      <c r="N49" s="78"/>
      <c r="O49" s="84">
        <f>O48+K$20</f>
        <v>4853.2912666666662</v>
      </c>
      <c r="U49" s="15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7:33" x14ac:dyDescent="0.2">
      <c r="G50" s="15"/>
      <c r="H50" s="19"/>
      <c r="I50" s="19"/>
      <c r="J50" s="85"/>
      <c r="K50" s="80"/>
      <c r="L50" s="72" t="s">
        <v>4</v>
      </c>
      <c r="M50" s="72" t="s">
        <v>6</v>
      </c>
      <c r="N50" s="73"/>
      <c r="O50" s="86">
        <f>K10+O10</f>
        <v>4642.8050520833331</v>
      </c>
      <c r="U50" s="15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7:33" x14ac:dyDescent="0.2">
      <c r="G51" s="15"/>
      <c r="H51" s="19"/>
      <c r="I51" s="19"/>
      <c r="J51" s="85"/>
      <c r="K51" s="80"/>
      <c r="L51" s="80"/>
      <c r="M51" s="80" t="s">
        <v>7</v>
      </c>
      <c r="N51" s="78"/>
      <c r="O51" s="84">
        <f>O50+K$20</f>
        <v>5968.7846520833327</v>
      </c>
      <c r="U51" s="15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7:33" x14ac:dyDescent="0.2">
      <c r="G52" s="15"/>
      <c r="H52" s="19"/>
      <c r="I52" s="19"/>
      <c r="J52" s="85"/>
      <c r="K52" s="80"/>
      <c r="L52" s="80"/>
      <c r="M52" s="80" t="s">
        <v>8</v>
      </c>
      <c r="N52" s="78"/>
      <c r="O52" s="84">
        <f>K10+P10</f>
        <v>5065.6050520833332</v>
      </c>
    </row>
    <row r="53" spans="7:33" x14ac:dyDescent="0.2">
      <c r="G53" s="15"/>
      <c r="H53" s="19"/>
      <c r="I53" s="19"/>
      <c r="J53" s="85"/>
      <c r="K53" s="80"/>
      <c r="L53" s="80"/>
      <c r="M53" s="80" t="s">
        <v>9</v>
      </c>
      <c r="N53" s="78"/>
      <c r="O53" s="84">
        <f>O52+K$20</f>
        <v>6391.5846520833329</v>
      </c>
    </row>
    <row r="54" spans="7:33" x14ac:dyDescent="0.2">
      <c r="G54" s="15"/>
      <c r="H54" s="19"/>
      <c r="I54" s="19"/>
      <c r="J54" s="85"/>
      <c r="K54" s="80"/>
      <c r="L54" s="72" t="s">
        <v>5</v>
      </c>
      <c r="M54" s="72" t="s">
        <v>6</v>
      </c>
      <c r="N54" s="73"/>
      <c r="O54" s="86">
        <f>K11+O11</f>
        <v>5807.138020833333</v>
      </c>
    </row>
    <row r="55" spans="7:33" x14ac:dyDescent="0.2">
      <c r="G55" s="15"/>
      <c r="H55" s="19"/>
      <c r="I55" s="19"/>
      <c r="J55" s="85"/>
      <c r="K55" s="80"/>
      <c r="L55" s="80"/>
      <c r="M55" s="80" t="s">
        <v>7</v>
      </c>
      <c r="N55" s="78"/>
      <c r="O55" s="84">
        <f>O54+K$20</f>
        <v>7133.1176208333327</v>
      </c>
    </row>
    <row r="56" spans="7:33" x14ac:dyDescent="0.2">
      <c r="G56" s="15"/>
      <c r="H56" s="19"/>
      <c r="I56" s="19"/>
      <c r="J56" s="85"/>
      <c r="K56" s="80"/>
      <c r="L56" s="80"/>
      <c r="M56" s="80" t="s">
        <v>8</v>
      </c>
      <c r="N56" s="78"/>
      <c r="O56" s="84">
        <f>K11+P11</f>
        <v>6326.5380208333336</v>
      </c>
    </row>
    <row r="57" spans="7:33" x14ac:dyDescent="0.2">
      <c r="G57" s="15"/>
      <c r="H57" s="19"/>
      <c r="I57" s="19"/>
      <c r="J57" s="85"/>
      <c r="K57" s="80"/>
      <c r="L57" s="80"/>
      <c r="M57" s="80" t="s">
        <v>9</v>
      </c>
      <c r="N57" s="78"/>
      <c r="O57" s="84">
        <f>O56+K$20</f>
        <v>7652.5176208333332</v>
      </c>
    </row>
    <row r="58" spans="7:33" x14ac:dyDescent="0.2">
      <c r="G58" s="15"/>
      <c r="H58" s="19"/>
      <c r="I58" s="19"/>
      <c r="J58" s="85"/>
      <c r="K58" s="74" t="s">
        <v>13</v>
      </c>
      <c r="L58" s="75" t="s">
        <v>2</v>
      </c>
      <c r="M58" s="75" t="s">
        <v>6</v>
      </c>
      <c r="N58" s="76"/>
      <c r="O58" s="87">
        <f>K12+O12</f>
        <v>3093.0958333333338</v>
      </c>
    </row>
    <row r="59" spans="7:33" x14ac:dyDescent="0.2">
      <c r="G59" s="15"/>
      <c r="H59" s="19"/>
      <c r="I59" s="19"/>
      <c r="J59" s="85"/>
      <c r="K59" s="80"/>
      <c r="L59" s="80"/>
      <c r="M59" s="80" t="s">
        <v>7</v>
      </c>
      <c r="N59" s="78"/>
      <c r="O59" s="84">
        <f>O58+K$20</f>
        <v>4419.0754333333334</v>
      </c>
    </row>
    <row r="60" spans="7:33" x14ac:dyDescent="0.2">
      <c r="G60" s="15"/>
      <c r="H60" s="19"/>
      <c r="I60" s="19"/>
      <c r="J60" s="85"/>
      <c r="K60" s="80"/>
      <c r="L60" s="80"/>
      <c r="M60" s="80" t="s">
        <v>8</v>
      </c>
      <c r="N60" s="78"/>
      <c r="O60" s="84">
        <f>K12+P12</f>
        <v>3368.8958333333339</v>
      </c>
    </row>
    <row r="61" spans="7:33" x14ac:dyDescent="0.2">
      <c r="G61" s="15"/>
      <c r="H61" s="19"/>
      <c r="I61" s="19"/>
      <c r="J61" s="85"/>
      <c r="K61" s="80"/>
      <c r="L61" s="80"/>
      <c r="M61" s="80" t="s">
        <v>9</v>
      </c>
      <c r="N61" s="78"/>
      <c r="O61" s="84">
        <f>O60+K$20</f>
        <v>4694.8754333333336</v>
      </c>
    </row>
    <row r="62" spans="7:33" x14ac:dyDescent="0.2">
      <c r="G62" s="15"/>
      <c r="H62" s="19"/>
      <c r="I62" s="46"/>
      <c r="J62" s="85"/>
      <c r="K62" s="80"/>
      <c r="L62" s="72" t="s">
        <v>3</v>
      </c>
      <c r="M62" s="72" t="s">
        <v>6</v>
      </c>
      <c r="N62" s="73"/>
      <c r="O62" s="86">
        <f>K13+O13</f>
        <v>4424.8516666666674</v>
      </c>
    </row>
    <row r="63" spans="7:33" x14ac:dyDescent="0.2">
      <c r="G63" s="46"/>
      <c r="H63" s="46"/>
      <c r="I63" s="47"/>
      <c r="J63" s="85"/>
      <c r="K63" s="80"/>
      <c r="L63" s="80"/>
      <c r="M63" s="80" t="s">
        <v>7</v>
      </c>
      <c r="N63" s="78"/>
      <c r="O63" s="84">
        <f>O62+K$20</f>
        <v>5750.831266666667</v>
      </c>
    </row>
    <row r="64" spans="7:33" x14ac:dyDescent="0.2">
      <c r="G64" s="47"/>
      <c r="H64" s="47"/>
      <c r="I64" s="46"/>
      <c r="J64" s="85"/>
      <c r="K64" s="80"/>
      <c r="L64" s="80"/>
      <c r="M64" s="80" t="s">
        <v>8</v>
      </c>
      <c r="N64" s="78"/>
      <c r="O64" s="84">
        <f>K13+P13</f>
        <v>4795.8516666666674</v>
      </c>
    </row>
    <row r="65" spans="7:15" x14ac:dyDescent="0.2">
      <c r="G65" s="46"/>
      <c r="H65" s="46"/>
      <c r="J65" s="85"/>
      <c r="K65" s="80"/>
      <c r="L65" s="80"/>
      <c r="M65" s="80" t="s">
        <v>9</v>
      </c>
      <c r="N65" s="78"/>
      <c r="O65" s="84">
        <f>O64+K$20</f>
        <v>6121.831266666667</v>
      </c>
    </row>
    <row r="66" spans="7:15" x14ac:dyDescent="0.2">
      <c r="J66" s="85"/>
      <c r="K66" s="80"/>
      <c r="L66" s="72" t="s">
        <v>4</v>
      </c>
      <c r="M66" s="72" t="s">
        <v>6</v>
      </c>
      <c r="N66" s="73"/>
      <c r="O66" s="86">
        <f>K14+O14</f>
        <v>6109.5679166666669</v>
      </c>
    </row>
    <row r="67" spans="7:15" x14ac:dyDescent="0.2">
      <c r="J67" s="85"/>
      <c r="K67" s="80"/>
      <c r="L67" s="80"/>
      <c r="M67" s="80" t="s">
        <v>7</v>
      </c>
      <c r="N67" s="78"/>
      <c r="O67" s="84">
        <f>O66+K$20</f>
        <v>7435.5475166666665</v>
      </c>
    </row>
    <row r="68" spans="7:15" x14ac:dyDescent="0.2">
      <c r="J68" s="85"/>
      <c r="K68" s="80"/>
      <c r="L68" s="80"/>
      <c r="M68" s="80" t="s">
        <v>8</v>
      </c>
      <c r="N68" s="78"/>
      <c r="O68" s="84">
        <f>K14+P14</f>
        <v>6572.9679166666674</v>
      </c>
    </row>
    <row r="69" spans="7:15" x14ac:dyDescent="0.2">
      <c r="J69" s="85"/>
      <c r="K69" s="80"/>
      <c r="L69" s="80"/>
      <c r="M69" s="80" t="s">
        <v>9</v>
      </c>
      <c r="N69" s="78"/>
      <c r="O69" s="84">
        <f>O68+K$20</f>
        <v>7898.9475166666671</v>
      </c>
    </row>
    <row r="70" spans="7:15" x14ac:dyDescent="0.2">
      <c r="J70" s="85"/>
      <c r="K70" s="80"/>
      <c r="L70" s="72" t="s">
        <v>5</v>
      </c>
      <c r="M70" s="72" t="s">
        <v>6</v>
      </c>
      <c r="N70" s="73"/>
      <c r="O70" s="86">
        <f>K15+O15</f>
        <v>6806.606770833333</v>
      </c>
    </row>
    <row r="71" spans="7:15" x14ac:dyDescent="0.2">
      <c r="J71" s="85"/>
      <c r="K71" s="80"/>
      <c r="L71" s="80"/>
      <c r="M71" s="80" t="s">
        <v>7</v>
      </c>
      <c r="N71" s="78"/>
      <c r="O71" s="84">
        <f>O70+K$20</f>
        <v>8132.5863708333327</v>
      </c>
    </row>
    <row r="72" spans="7:15" x14ac:dyDescent="0.2">
      <c r="J72" s="85"/>
      <c r="K72" s="80"/>
      <c r="L72" s="80"/>
      <c r="M72" s="80" t="s">
        <v>8</v>
      </c>
      <c r="N72" s="78"/>
      <c r="O72" s="84">
        <f>K15+P15</f>
        <v>8732.5401041666664</v>
      </c>
    </row>
    <row r="73" spans="7:15" ht="15" thickBot="1" x14ac:dyDescent="0.25">
      <c r="J73" s="88"/>
      <c r="K73" s="89"/>
      <c r="L73" s="89"/>
      <c r="M73" s="89" t="s">
        <v>9</v>
      </c>
      <c r="N73" s="90"/>
      <c r="O73" s="91">
        <f>O72+K$20</f>
        <v>10058.519704166665</v>
      </c>
    </row>
    <row r="74" spans="7:15" ht="15" thickTop="1" x14ac:dyDescent="0.2"/>
  </sheetData>
  <mergeCells count="17">
    <mergeCell ref="J17:K18"/>
    <mergeCell ref="L17:M18"/>
    <mergeCell ref="R5:S5"/>
    <mergeCell ref="R6:S6"/>
    <mergeCell ref="R7:S7"/>
    <mergeCell ref="R8:S8"/>
    <mergeCell ref="J1:K1"/>
    <mergeCell ref="L1:M1"/>
    <mergeCell ref="O1:P1"/>
    <mergeCell ref="R3:S3"/>
    <mergeCell ref="R4:S4"/>
    <mergeCell ref="U19:V19"/>
    <mergeCell ref="Y19:AB19"/>
    <mergeCell ref="AC19:AF19"/>
    <mergeCell ref="AG19:AJ19"/>
    <mergeCell ref="J25:M25"/>
    <mergeCell ref="S19:T19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3948-D775-41E0-8CCD-2094E6D1E838}">
  <dimension ref="B1:AJ74"/>
  <sheetViews>
    <sheetView topLeftCell="H5" zoomScale="94" zoomScaleNormal="94" workbookViewId="0">
      <selection activeCell="Y37" sqref="Y37"/>
    </sheetView>
  </sheetViews>
  <sheetFormatPr baseColWidth="10" defaultColWidth="9.1640625" defaultRowHeight="14" x14ac:dyDescent="0.2"/>
  <cols>
    <col min="1" max="3" width="9.1640625" style="13"/>
    <col min="4" max="4" width="37.5" style="13" customWidth="1"/>
    <col min="5" max="5" width="12.1640625" style="2" customWidth="1"/>
    <col min="6" max="6" width="11" style="2" customWidth="1"/>
    <col min="7" max="7" width="10.6640625" style="2" customWidth="1"/>
    <col min="8" max="8" width="12.83203125" style="2" customWidth="1"/>
    <col min="9" max="9" width="3.1640625" style="2" customWidth="1"/>
    <col min="10" max="13" width="14.6640625" style="2" customWidth="1"/>
    <col min="14" max="14" width="3.1640625" style="2" customWidth="1"/>
    <col min="15" max="16" width="15.6640625" style="13" customWidth="1"/>
    <col min="17" max="17" width="4.33203125" style="2" customWidth="1"/>
    <col min="18" max="18" width="15.6640625" style="13" customWidth="1"/>
    <col min="19" max="22" width="16.6640625" style="13" customWidth="1"/>
    <col min="23" max="23" width="4.5" style="2" customWidth="1"/>
    <col min="24" max="24" width="19.1640625" style="2" customWidth="1"/>
    <col min="25" max="25" width="8.6640625" style="2" customWidth="1"/>
    <col min="26" max="26" width="8.6640625" style="13" customWidth="1"/>
    <col min="27" max="29" width="8.6640625" style="2" customWidth="1"/>
    <col min="30" max="30" width="8.6640625" style="13" customWidth="1"/>
    <col min="31" max="33" width="8.6640625" style="2" customWidth="1"/>
    <col min="34" max="36" width="8.6640625" style="13" customWidth="1"/>
    <col min="37" max="16384" width="9.1640625" style="13"/>
  </cols>
  <sheetData>
    <row r="1" spans="2:19" ht="33" customHeight="1" x14ac:dyDescent="0.2">
      <c r="B1" s="170" t="s">
        <v>10</v>
      </c>
      <c r="C1" s="171" t="s">
        <v>11</v>
      </c>
      <c r="D1" s="171" t="s">
        <v>22</v>
      </c>
      <c r="E1" s="171" t="s">
        <v>25</v>
      </c>
      <c r="F1" s="171" t="s">
        <v>23</v>
      </c>
      <c r="G1" s="171" t="s">
        <v>24</v>
      </c>
      <c r="H1" s="172" t="s">
        <v>57</v>
      </c>
      <c r="I1" s="53"/>
      <c r="J1" s="232" t="s">
        <v>56</v>
      </c>
      <c r="K1" s="233"/>
      <c r="L1" s="234" t="s">
        <v>70</v>
      </c>
      <c r="M1" s="235"/>
      <c r="O1" s="250" t="s">
        <v>61</v>
      </c>
      <c r="P1" s="251"/>
    </row>
    <row r="2" spans="2:19" ht="15" x14ac:dyDescent="0.2">
      <c r="B2" s="22"/>
      <c r="C2" s="15"/>
      <c r="D2" s="15"/>
      <c r="E2" s="15"/>
      <c r="F2" s="15"/>
      <c r="G2" s="15"/>
      <c r="H2" s="23"/>
      <c r="I2" s="53"/>
      <c r="J2" s="147" t="s">
        <v>62</v>
      </c>
      <c r="K2" s="62">
        <v>0.26</v>
      </c>
      <c r="L2" s="102" t="s">
        <v>62</v>
      </c>
      <c r="M2" s="103">
        <v>0.25</v>
      </c>
      <c r="O2" s="148" t="s">
        <v>60</v>
      </c>
      <c r="P2" s="149" t="s">
        <v>59</v>
      </c>
    </row>
    <row r="3" spans="2:19" ht="16" x14ac:dyDescent="0.2">
      <c r="B3" s="22"/>
      <c r="C3" s="15"/>
      <c r="D3" s="15"/>
      <c r="E3" s="15"/>
      <c r="F3" s="15"/>
      <c r="G3" s="15"/>
      <c r="H3" s="23"/>
      <c r="I3" s="53"/>
      <c r="J3" s="189" t="s">
        <v>183</v>
      </c>
      <c r="K3" s="190" t="s">
        <v>184</v>
      </c>
      <c r="L3" s="191" t="s">
        <v>183</v>
      </c>
      <c r="M3" s="192" t="s">
        <v>184</v>
      </c>
      <c r="O3" s="24"/>
      <c r="P3" s="48"/>
      <c r="R3" s="252" t="s">
        <v>68</v>
      </c>
      <c r="S3" s="253"/>
    </row>
    <row r="4" spans="2:19" ht="15" x14ac:dyDescent="0.2">
      <c r="B4" s="24" t="s">
        <v>21</v>
      </c>
      <c r="C4" s="13" t="s">
        <v>17</v>
      </c>
      <c r="D4" s="13" t="s">
        <v>63</v>
      </c>
      <c r="E4" s="68">
        <v>120</v>
      </c>
      <c r="F4" s="2">
        <v>1990</v>
      </c>
      <c r="G4" s="68">
        <v>55</v>
      </c>
      <c r="H4" s="25">
        <f>E4*G4</f>
        <v>6600</v>
      </c>
      <c r="J4" s="26">
        <f t="shared" ref="J4:J15" si="0">H4/100*T$33</f>
        <v>4597.8625000000002</v>
      </c>
      <c r="K4" s="27">
        <f t="shared" ref="K4:K15" si="1">H4/100*T$33*K$2</f>
        <v>1195.44425</v>
      </c>
      <c r="L4" s="95">
        <f t="shared" ref="L4:L15" si="2">H4/100*V$33</f>
        <v>3189.5874999999996</v>
      </c>
      <c r="M4" s="104">
        <f t="shared" ref="M4:M15" si="3">H4/100*V$33*M$2</f>
        <v>797.39687499999991</v>
      </c>
      <c r="O4" s="49">
        <f>$Y33*$Y$35*12*((60-$Y$36)/60)</f>
        <v>690.66666666666674</v>
      </c>
      <c r="P4" s="50">
        <f>$Y33*$Y$35*12*((60-$Y$37)/60)</f>
        <v>897.8666666666669</v>
      </c>
      <c r="R4" s="254" t="s">
        <v>69</v>
      </c>
      <c r="S4" s="255"/>
    </row>
    <row r="5" spans="2:19" ht="15" x14ac:dyDescent="0.2">
      <c r="B5" s="24"/>
      <c r="C5" s="13" t="s">
        <v>18</v>
      </c>
      <c r="D5" s="13" t="s">
        <v>64</v>
      </c>
      <c r="E5" s="68">
        <v>160</v>
      </c>
      <c r="F5" s="2">
        <v>2010</v>
      </c>
      <c r="G5" s="68">
        <v>55</v>
      </c>
      <c r="H5" s="25">
        <f t="shared" ref="H5:H15" si="4">E5*G5</f>
        <v>8800</v>
      </c>
      <c r="J5" s="26">
        <f t="shared" si="0"/>
        <v>6130.4833333333336</v>
      </c>
      <c r="K5" s="27">
        <f t="shared" si="1"/>
        <v>1593.9256666666668</v>
      </c>
      <c r="L5" s="95">
        <f t="shared" si="2"/>
        <v>4252.7833333333328</v>
      </c>
      <c r="M5" s="104">
        <f t="shared" si="3"/>
        <v>1063.1958333333332</v>
      </c>
      <c r="O5" s="49">
        <f>Z33*Y$35*12*((60-Y$36)/60)</f>
        <v>1022</v>
      </c>
      <c r="P5" s="50">
        <f>$Z33*$Y$35*12*((60-$Y$37)/60)</f>
        <v>1328.6000000000001</v>
      </c>
      <c r="R5" s="260"/>
      <c r="S5" s="261"/>
    </row>
    <row r="6" spans="2:19" ht="15" x14ac:dyDescent="0.2">
      <c r="B6" s="24"/>
      <c r="C6" s="13" t="s">
        <v>19</v>
      </c>
      <c r="D6" s="13" t="s">
        <v>65</v>
      </c>
      <c r="E6" s="68">
        <v>210</v>
      </c>
      <c r="F6" s="2">
        <v>1960</v>
      </c>
      <c r="G6" s="68">
        <v>60</v>
      </c>
      <c r="H6" s="25">
        <f t="shared" si="4"/>
        <v>12600</v>
      </c>
      <c r="J6" s="26">
        <f t="shared" si="0"/>
        <v>8777.7375000000011</v>
      </c>
      <c r="K6" s="27">
        <f t="shared" si="1"/>
        <v>2282.2117500000004</v>
      </c>
      <c r="L6" s="95">
        <f t="shared" si="2"/>
        <v>6089.2124999999996</v>
      </c>
      <c r="M6" s="104">
        <f t="shared" si="3"/>
        <v>1522.3031249999999</v>
      </c>
      <c r="O6" s="49">
        <f>AA33*Y$35*12*((60-Y$36)/60)</f>
        <v>1194.6666666666665</v>
      </c>
      <c r="P6" s="50">
        <f>$AA33*$Y$35*12*((60-$Y$37)/60)</f>
        <v>1553.0666666666666</v>
      </c>
      <c r="R6" s="262"/>
      <c r="S6" s="263"/>
    </row>
    <row r="7" spans="2:19" ht="15" x14ac:dyDescent="0.2">
      <c r="B7" s="24"/>
      <c r="C7" s="13" t="s">
        <v>20</v>
      </c>
      <c r="D7" s="13" t="s">
        <v>66</v>
      </c>
      <c r="E7" s="68">
        <v>250</v>
      </c>
      <c r="F7" s="2">
        <v>1970</v>
      </c>
      <c r="G7" s="68">
        <v>70</v>
      </c>
      <c r="H7" s="25">
        <f t="shared" si="4"/>
        <v>17500</v>
      </c>
      <c r="J7" s="26">
        <f t="shared" si="0"/>
        <v>12191.302083333334</v>
      </c>
      <c r="K7" s="27">
        <f t="shared" si="1"/>
        <v>3169.7385416666671</v>
      </c>
      <c r="L7" s="95">
        <f t="shared" si="2"/>
        <v>8457.2395833333321</v>
      </c>
      <c r="M7" s="104">
        <f t="shared" si="3"/>
        <v>2114.309895833333</v>
      </c>
      <c r="O7" s="49">
        <f>AB33*Y$35*12*((60-Y$36)/60)</f>
        <v>1712.6666666666665</v>
      </c>
      <c r="P7" s="50">
        <f>$AB33*$Y$35*12*((60-$Y$37)/60)</f>
        <v>2226.4666666666667</v>
      </c>
      <c r="R7" s="264"/>
      <c r="S7" s="265"/>
    </row>
    <row r="8" spans="2:19" ht="15" x14ac:dyDescent="0.2">
      <c r="B8" s="54" t="s">
        <v>12</v>
      </c>
      <c r="C8" s="55" t="s">
        <v>17</v>
      </c>
      <c r="D8" s="55"/>
      <c r="E8" s="69">
        <v>120</v>
      </c>
      <c r="F8" s="56"/>
      <c r="G8" s="69">
        <v>75</v>
      </c>
      <c r="H8" s="57">
        <f t="shared" si="4"/>
        <v>9000</v>
      </c>
      <c r="I8" s="56"/>
      <c r="J8" s="58">
        <f t="shared" si="0"/>
        <v>6269.8125000000009</v>
      </c>
      <c r="K8" s="59">
        <f t="shared" si="1"/>
        <v>1630.1512500000003</v>
      </c>
      <c r="L8" s="105">
        <f t="shared" si="2"/>
        <v>4349.4374999999991</v>
      </c>
      <c r="M8" s="106">
        <f t="shared" si="3"/>
        <v>1087.3593749999998</v>
      </c>
      <c r="N8" s="56"/>
      <c r="O8" s="60">
        <f>$AC33*$Y$35*12*((60-$Y$36)/60)</f>
        <v>849.33333333333326</v>
      </c>
      <c r="P8" s="61">
        <f>$AC33*$Y$35*12*((60-$Y$37)/60)</f>
        <v>1104.1333333333334</v>
      </c>
      <c r="R8" s="266"/>
      <c r="S8" s="267"/>
    </row>
    <row r="9" spans="2:19" x14ac:dyDescent="0.2">
      <c r="B9" s="24"/>
      <c r="C9" s="13" t="s">
        <v>18</v>
      </c>
      <c r="E9" s="68">
        <v>160</v>
      </c>
      <c r="G9" s="68">
        <v>70</v>
      </c>
      <c r="H9" s="25">
        <f t="shared" si="4"/>
        <v>11200</v>
      </c>
      <c r="J9" s="26">
        <f t="shared" si="0"/>
        <v>7802.4333333333343</v>
      </c>
      <c r="K9" s="27">
        <f t="shared" si="1"/>
        <v>2028.6326666666671</v>
      </c>
      <c r="L9" s="95">
        <f t="shared" si="2"/>
        <v>5412.6333333333323</v>
      </c>
      <c r="M9" s="104">
        <f t="shared" si="3"/>
        <v>1353.1583333333331</v>
      </c>
      <c r="O9" s="49">
        <f>$AD33*$Y$35*12*((60-$Y$36)/60)</f>
        <v>1152.6666666666665</v>
      </c>
      <c r="P9" s="50">
        <f>$AD33*$Y$35*12*((60-$Y$37)/60)</f>
        <v>1498.4666666666665</v>
      </c>
    </row>
    <row r="10" spans="2:19" x14ac:dyDescent="0.2">
      <c r="B10" s="24"/>
      <c r="C10" s="13" t="s">
        <v>19</v>
      </c>
      <c r="E10" s="68">
        <v>210</v>
      </c>
      <c r="G10" s="68">
        <v>85</v>
      </c>
      <c r="H10" s="25">
        <f t="shared" si="4"/>
        <v>17850</v>
      </c>
      <c r="J10" s="26">
        <f t="shared" si="0"/>
        <v>12435.128125000001</v>
      </c>
      <c r="K10" s="27">
        <f t="shared" si="1"/>
        <v>3233.1333125000006</v>
      </c>
      <c r="L10" s="95">
        <f t="shared" si="2"/>
        <v>8626.3843749999996</v>
      </c>
      <c r="M10" s="104">
        <f t="shared" si="3"/>
        <v>2156.5960937499999</v>
      </c>
      <c r="O10" s="49">
        <f>$AE33*$Y$35*12*((60-$Y$36)/60)</f>
        <v>1409.3333333333333</v>
      </c>
      <c r="P10" s="50">
        <f>$AE33*$Y$35*12*((60-$Y$37)/60)</f>
        <v>1832.1333333333334</v>
      </c>
    </row>
    <row r="11" spans="2:19" x14ac:dyDescent="0.2">
      <c r="B11" s="24"/>
      <c r="C11" s="13" t="s">
        <v>20</v>
      </c>
      <c r="E11" s="68">
        <v>250</v>
      </c>
      <c r="G11" s="68">
        <v>90</v>
      </c>
      <c r="H11" s="25">
        <f t="shared" si="4"/>
        <v>22500</v>
      </c>
      <c r="J11" s="26">
        <f t="shared" si="0"/>
        <v>15674.531250000002</v>
      </c>
      <c r="K11" s="27">
        <f t="shared" si="1"/>
        <v>4075.3781250000006</v>
      </c>
      <c r="L11" s="95">
        <f t="shared" si="2"/>
        <v>10873.593749999998</v>
      </c>
      <c r="M11" s="104">
        <f t="shared" si="3"/>
        <v>2718.3984374999995</v>
      </c>
      <c r="O11" s="49">
        <f>$AF33*$Y$35*12*((60-$Y$36)/60)</f>
        <v>1731.3333333333333</v>
      </c>
      <c r="P11" s="50">
        <f>$AF33*$Y$35*12*((60-$Y$37)/60)</f>
        <v>2250.7333333333336</v>
      </c>
    </row>
    <row r="12" spans="2:19" x14ac:dyDescent="0.2">
      <c r="B12" s="54" t="s">
        <v>13</v>
      </c>
      <c r="C12" s="55" t="s">
        <v>17</v>
      </c>
      <c r="D12" s="55"/>
      <c r="E12" s="69">
        <v>120</v>
      </c>
      <c r="F12" s="56"/>
      <c r="G12" s="69">
        <v>100</v>
      </c>
      <c r="H12" s="57">
        <f t="shared" si="4"/>
        <v>12000</v>
      </c>
      <c r="I12" s="56"/>
      <c r="J12" s="58">
        <f t="shared" si="0"/>
        <v>8359.75</v>
      </c>
      <c r="K12" s="59">
        <f t="shared" si="1"/>
        <v>2173.5349999999999</v>
      </c>
      <c r="L12" s="105">
        <f t="shared" si="2"/>
        <v>5799.2499999999991</v>
      </c>
      <c r="M12" s="106">
        <f t="shared" si="3"/>
        <v>1449.8124999999998</v>
      </c>
      <c r="N12" s="56"/>
      <c r="O12" s="60">
        <f>$AG33*$Y$35*12*((60-$Y$36)/60)</f>
        <v>919.33333333333326</v>
      </c>
      <c r="P12" s="61">
        <f>$AG33*$Y$35*12*((60-$Y$37)/60)</f>
        <v>1195.1333333333334</v>
      </c>
    </row>
    <row r="13" spans="2:19" x14ac:dyDescent="0.2">
      <c r="B13" s="24"/>
      <c r="C13" s="13" t="s">
        <v>18</v>
      </c>
      <c r="E13" s="68">
        <v>160</v>
      </c>
      <c r="G13" s="68">
        <v>110</v>
      </c>
      <c r="H13" s="25">
        <f t="shared" si="4"/>
        <v>17600</v>
      </c>
      <c r="J13" s="26">
        <f t="shared" si="0"/>
        <v>12260.966666666667</v>
      </c>
      <c r="K13" s="27">
        <f t="shared" si="1"/>
        <v>3187.8513333333335</v>
      </c>
      <c r="L13" s="95">
        <f t="shared" si="2"/>
        <v>8505.5666666666657</v>
      </c>
      <c r="M13" s="104">
        <f t="shared" si="3"/>
        <v>2126.3916666666664</v>
      </c>
      <c r="O13" s="49">
        <f>$AH33*$Y$35*12*((60-$Y$36)/60)</f>
        <v>1236.666666666667</v>
      </c>
      <c r="P13" s="50">
        <f>$AH33*$Y$35*12*((60-$Y$37)/60)</f>
        <v>1607.6666666666672</v>
      </c>
    </row>
    <row r="14" spans="2:19" x14ac:dyDescent="0.2">
      <c r="B14" s="24"/>
      <c r="C14" s="13" t="s">
        <v>19</v>
      </c>
      <c r="E14" s="68">
        <v>210</v>
      </c>
      <c r="G14" s="68">
        <v>120</v>
      </c>
      <c r="H14" s="25">
        <f t="shared" si="4"/>
        <v>25200</v>
      </c>
      <c r="J14" s="26">
        <f t="shared" si="0"/>
        <v>17555.475000000002</v>
      </c>
      <c r="K14" s="27">
        <f t="shared" si="1"/>
        <v>4564.4235000000008</v>
      </c>
      <c r="L14" s="95">
        <f t="shared" si="2"/>
        <v>12178.424999999999</v>
      </c>
      <c r="M14" s="104">
        <f t="shared" si="3"/>
        <v>3044.6062499999998</v>
      </c>
      <c r="O14" s="49">
        <f>$AI33*$Y$35*12*((60-$Y$36)/60)</f>
        <v>1544.6666666666672</v>
      </c>
      <c r="P14" s="50">
        <f>$AI33*$Y$35*12*((60-$Y$37)/60)</f>
        <v>2008.0666666666675</v>
      </c>
    </row>
    <row r="15" spans="2:19" x14ac:dyDescent="0.2">
      <c r="B15" s="28"/>
      <c r="C15" s="29" t="s">
        <v>20</v>
      </c>
      <c r="D15" s="29"/>
      <c r="E15" s="70">
        <v>250</v>
      </c>
      <c r="F15" s="21"/>
      <c r="G15" s="70">
        <v>130</v>
      </c>
      <c r="H15" s="30">
        <f t="shared" si="4"/>
        <v>32500</v>
      </c>
      <c r="J15" s="31">
        <f t="shared" si="0"/>
        <v>22640.989583333336</v>
      </c>
      <c r="K15" s="32">
        <f t="shared" si="1"/>
        <v>5886.6572916666673</v>
      </c>
      <c r="L15" s="100">
        <f t="shared" si="2"/>
        <v>15706.302083333332</v>
      </c>
      <c r="M15" s="107">
        <f t="shared" si="3"/>
        <v>3926.575520833333</v>
      </c>
      <c r="O15" s="51">
        <f>$AG33*$Y$35*12*((60-$Y$36)/60)</f>
        <v>919.33333333333326</v>
      </c>
      <c r="P15" s="52">
        <f>$AJ33*$Y$35*12*((60-$Y$37)/60)</f>
        <v>2845.2666666666673</v>
      </c>
    </row>
    <row r="16" spans="2:19" x14ac:dyDescent="0.2">
      <c r="J16" s="26"/>
      <c r="K16" s="27"/>
      <c r="L16" s="95"/>
      <c r="M16" s="108"/>
    </row>
    <row r="17" spans="2:36" ht="13.5" customHeight="1" x14ac:dyDescent="0.2">
      <c r="B17" s="34"/>
      <c r="C17" s="35"/>
      <c r="D17" s="35"/>
      <c r="E17" s="20"/>
      <c r="F17" s="20"/>
      <c r="G17" s="20"/>
      <c r="H17" s="36"/>
      <c r="J17" s="236" t="s">
        <v>185</v>
      </c>
      <c r="K17" s="237"/>
      <c r="L17" s="234" t="s">
        <v>71</v>
      </c>
      <c r="M17" s="235"/>
    </row>
    <row r="18" spans="2:36" x14ac:dyDescent="0.2">
      <c r="B18" s="24"/>
      <c r="H18" s="25"/>
      <c r="J18" s="238"/>
      <c r="K18" s="239"/>
      <c r="L18" s="240"/>
      <c r="M18" s="241"/>
      <c r="O18" s="2"/>
      <c r="Q18" s="13"/>
      <c r="R18" s="2"/>
      <c r="W18" s="13"/>
      <c r="Z18" s="2"/>
      <c r="AA18" s="13"/>
      <c r="AD18" s="2"/>
      <c r="AE18" s="13"/>
      <c r="AH18" s="2"/>
    </row>
    <row r="19" spans="2:36" x14ac:dyDescent="0.2">
      <c r="B19" s="37"/>
      <c r="H19" s="25"/>
      <c r="J19" s="63">
        <v>0.3</v>
      </c>
      <c r="K19" s="64">
        <v>0.46</v>
      </c>
      <c r="L19" s="109">
        <v>0.3</v>
      </c>
      <c r="M19" s="110">
        <v>0.48</v>
      </c>
      <c r="N19" s="38"/>
      <c r="O19" s="38"/>
      <c r="P19" s="38"/>
      <c r="R19" s="151" t="s">
        <v>167</v>
      </c>
      <c r="S19" s="256">
        <v>2023</v>
      </c>
      <c r="T19" s="257"/>
      <c r="U19" s="258">
        <v>2024</v>
      </c>
      <c r="V19" s="259"/>
      <c r="X19" s="161" t="s">
        <v>166</v>
      </c>
      <c r="Y19" s="247" t="s">
        <v>51</v>
      </c>
      <c r="Z19" s="248"/>
      <c r="AA19" s="248"/>
      <c r="AB19" s="249"/>
      <c r="AC19" s="247" t="s">
        <v>52</v>
      </c>
      <c r="AD19" s="248"/>
      <c r="AE19" s="248"/>
      <c r="AF19" s="249"/>
      <c r="AG19" s="247" t="s">
        <v>53</v>
      </c>
      <c r="AH19" s="248"/>
      <c r="AI19" s="248"/>
      <c r="AJ19" s="249"/>
    </row>
    <row r="20" spans="2:36" x14ac:dyDescent="0.2">
      <c r="B20" s="37" t="s">
        <v>26</v>
      </c>
      <c r="C20" s="13" t="s">
        <v>16</v>
      </c>
      <c r="D20" s="13" t="s">
        <v>27</v>
      </c>
      <c r="E20" s="68">
        <v>25</v>
      </c>
      <c r="G20" s="68">
        <v>320</v>
      </c>
      <c r="H20" s="25">
        <v>8000</v>
      </c>
      <c r="J20" s="26">
        <f>H20*J$19*((T$35+T$37)*T$36)/100</f>
        <v>2339.7330000000002</v>
      </c>
      <c r="K20" s="40">
        <f>(H20*K$19*((T$35+T$37)*T$36)/100)-(H20*J$19*((T$35+T$37)*T$36)/100)</f>
        <v>1247.8576000000003</v>
      </c>
      <c r="L20" s="95">
        <f>H20*L$19*((V$35+V$37)*V$36)/100</f>
        <v>1867.9979999999998</v>
      </c>
      <c r="M20" s="96">
        <f>(H20*M$19*((V$35+V$37)*V$36)/100)-(H20*L$19*((V$35+V$37)*V$36)/100)</f>
        <v>1120.7988000000003</v>
      </c>
      <c r="N20" s="39"/>
      <c r="O20" s="39"/>
      <c r="P20" s="39"/>
      <c r="R20" s="152"/>
      <c r="S20" s="153" t="s">
        <v>48</v>
      </c>
      <c r="T20" s="154" t="s">
        <v>49</v>
      </c>
      <c r="U20" s="111" t="s">
        <v>42</v>
      </c>
      <c r="V20" s="112" t="s">
        <v>41</v>
      </c>
      <c r="X20" s="162"/>
      <c r="Y20" s="148" t="s">
        <v>17</v>
      </c>
      <c r="Z20" s="194" t="s">
        <v>18</v>
      </c>
      <c r="AA20" s="194" t="s">
        <v>19</v>
      </c>
      <c r="AB20" s="149" t="s">
        <v>20</v>
      </c>
      <c r="AC20" s="148" t="s">
        <v>17</v>
      </c>
      <c r="AD20" s="194" t="s">
        <v>18</v>
      </c>
      <c r="AE20" s="194" t="s">
        <v>19</v>
      </c>
      <c r="AF20" s="149" t="s">
        <v>20</v>
      </c>
      <c r="AG20" s="148" t="s">
        <v>17</v>
      </c>
      <c r="AH20" s="194" t="s">
        <v>18</v>
      </c>
      <c r="AI20" s="194" t="s">
        <v>19</v>
      </c>
      <c r="AJ20" s="149" t="s">
        <v>20</v>
      </c>
    </row>
    <row r="21" spans="2:36" x14ac:dyDescent="0.2">
      <c r="B21" s="24"/>
      <c r="C21" s="92"/>
      <c r="D21" s="92"/>
      <c r="E21" s="93"/>
      <c r="F21" s="93"/>
      <c r="G21" s="93"/>
      <c r="H21" s="94"/>
      <c r="I21" s="93"/>
      <c r="J21" s="95">
        <f>H21*J$19*((T$35+T$37)*T$36)/100</f>
        <v>0</v>
      </c>
      <c r="K21" s="96">
        <f>(H21*K$19*((T$35+T$37)*T$36)/100)-(H21*J$19*((T$35+T$37)*T$36)/100)</f>
        <v>0</v>
      </c>
      <c r="L21" s="95">
        <f>H21*L$19*((V$35+V$37)*V$36)/100</f>
        <v>0</v>
      </c>
      <c r="M21" s="96">
        <f>(H21*M$19*((V$35+V$37)*V$36)/100)-(H21*L$19*((V$35+V$37)*V$36)/100)</f>
        <v>0</v>
      </c>
      <c r="N21" s="39"/>
      <c r="O21" s="39"/>
      <c r="P21" s="39"/>
      <c r="R21" s="11" t="s">
        <v>29</v>
      </c>
      <c r="S21" s="65">
        <v>70.38</v>
      </c>
      <c r="T21" s="16">
        <f t="shared" ref="T21:T32" si="5">(S21+10)*1.25</f>
        <v>100.47499999999999</v>
      </c>
      <c r="U21" s="113">
        <v>61.08</v>
      </c>
      <c r="V21" s="114">
        <f t="shared" ref="V21:V32" si="6">(U21+10)*1.25</f>
        <v>88.85</v>
      </c>
      <c r="W21" s="41"/>
      <c r="X21" s="11" t="s">
        <v>29</v>
      </c>
      <c r="Y21" s="4">
        <v>1.7</v>
      </c>
      <c r="Z21" s="5">
        <v>2.4</v>
      </c>
      <c r="AA21" s="5">
        <v>3</v>
      </c>
      <c r="AB21" s="6">
        <v>4.2</v>
      </c>
      <c r="AC21" s="4">
        <v>2.2999999999999998</v>
      </c>
      <c r="AD21" s="5">
        <v>3</v>
      </c>
      <c r="AE21" s="5">
        <v>3.7</v>
      </c>
      <c r="AF21" s="6">
        <v>4.8</v>
      </c>
      <c r="AG21" s="4">
        <v>3</v>
      </c>
      <c r="AH21" s="5">
        <v>4</v>
      </c>
      <c r="AI21" s="5">
        <v>5.5</v>
      </c>
      <c r="AJ21" s="6">
        <v>8</v>
      </c>
    </row>
    <row r="22" spans="2:36" x14ac:dyDescent="0.2">
      <c r="B22" s="24"/>
      <c r="C22" s="92"/>
      <c r="D22" s="92"/>
      <c r="E22" s="93"/>
      <c r="F22" s="93"/>
      <c r="G22" s="93"/>
      <c r="H22" s="94"/>
      <c r="I22" s="93"/>
      <c r="J22" s="95">
        <f>H22*J$19*((T$35+T$37)*T$36)/100</f>
        <v>0</v>
      </c>
      <c r="K22" s="96">
        <f>(H22*K$19*((T$35+T$37)*T$36)/100)-(H22*J$19*((T$35+T$37)*T$36)/100)</f>
        <v>0</v>
      </c>
      <c r="L22" s="95">
        <f>H22*L$19*((V$35+V$37)*V$36)/100</f>
        <v>0</v>
      </c>
      <c r="M22" s="96">
        <f>(H22*M$19*((V$35+V$37)*V$36)/100)-(H22*L$19*((V$35+V$37)*V$36)/100)</f>
        <v>0</v>
      </c>
      <c r="N22" s="39"/>
      <c r="O22" s="39"/>
      <c r="P22" s="39"/>
      <c r="R22" s="11" t="s">
        <v>30</v>
      </c>
      <c r="S22" s="65">
        <v>52.03</v>
      </c>
      <c r="T22" s="16">
        <f t="shared" si="5"/>
        <v>77.537499999999994</v>
      </c>
      <c r="U22" s="113">
        <v>44.79</v>
      </c>
      <c r="V22" s="114">
        <f t="shared" si="6"/>
        <v>68.487499999999997</v>
      </c>
      <c r="W22" s="41"/>
      <c r="X22" s="11" t="s">
        <v>30</v>
      </c>
      <c r="Y22" s="4">
        <v>1.7</v>
      </c>
      <c r="Z22" s="5">
        <v>2.4</v>
      </c>
      <c r="AA22" s="5">
        <v>3</v>
      </c>
      <c r="AB22" s="6">
        <v>4.2</v>
      </c>
      <c r="AC22" s="4">
        <v>2.5</v>
      </c>
      <c r="AD22" s="5">
        <v>3</v>
      </c>
      <c r="AE22" s="5">
        <v>3.7</v>
      </c>
      <c r="AF22" s="6">
        <v>4.8</v>
      </c>
      <c r="AG22" s="4">
        <v>3</v>
      </c>
      <c r="AH22" s="5">
        <v>4</v>
      </c>
      <c r="AI22" s="5">
        <v>5.5</v>
      </c>
      <c r="AJ22" s="6">
        <v>8</v>
      </c>
    </row>
    <row r="23" spans="2:36" x14ac:dyDescent="0.2">
      <c r="B23" s="28"/>
      <c r="C23" s="97"/>
      <c r="D23" s="97"/>
      <c r="E23" s="98"/>
      <c r="F23" s="98"/>
      <c r="G23" s="98"/>
      <c r="H23" s="99"/>
      <c r="I23" s="93"/>
      <c r="J23" s="100">
        <f>H23*J$19*((T$35+T$37)*T$36)/100</f>
        <v>0</v>
      </c>
      <c r="K23" s="101">
        <f>(H23*K$19*((T$35+T$37)*T$36)/100)-(H23*J$19*((T$35+T$37)*T$36)/100)</f>
        <v>0</v>
      </c>
      <c r="L23" s="100">
        <f>H23*L$19*((V$35+V$37)*V$36)/100</f>
        <v>0</v>
      </c>
      <c r="M23" s="101">
        <f>(H23*M$19*((V$35+V$37)*V$36)/100)-(H23*L$19*((V$35+V$37)*V$36)/100)</f>
        <v>0</v>
      </c>
      <c r="N23" s="39"/>
      <c r="O23" s="39"/>
      <c r="P23" s="39"/>
      <c r="R23" s="11" t="s">
        <v>31</v>
      </c>
      <c r="S23" s="65">
        <v>56.49</v>
      </c>
      <c r="T23" s="16">
        <f t="shared" si="5"/>
        <v>83.112500000000011</v>
      </c>
      <c r="U23" s="113">
        <v>56.61</v>
      </c>
      <c r="V23" s="114">
        <f t="shared" si="6"/>
        <v>83.262500000000003</v>
      </c>
      <c r="W23" s="41"/>
      <c r="X23" s="11" t="s">
        <v>31</v>
      </c>
      <c r="Y23" s="4">
        <v>1.6</v>
      </c>
      <c r="Z23" s="5">
        <v>2.2999999999999998</v>
      </c>
      <c r="AA23" s="5">
        <v>2.6</v>
      </c>
      <c r="AB23" s="6">
        <v>3.8</v>
      </c>
      <c r="AC23" s="4">
        <v>2</v>
      </c>
      <c r="AD23" s="5">
        <v>2.7</v>
      </c>
      <c r="AE23" s="5">
        <v>3.2</v>
      </c>
      <c r="AF23" s="6">
        <v>4</v>
      </c>
      <c r="AG23" s="4">
        <v>2.5</v>
      </c>
      <c r="AH23" s="5">
        <v>3.8</v>
      </c>
      <c r="AI23" s="5">
        <v>4.4000000000000004</v>
      </c>
      <c r="AJ23" s="6">
        <v>6.5</v>
      </c>
    </row>
    <row r="24" spans="2:36" ht="15" thickBot="1" x14ac:dyDescent="0.25">
      <c r="O24" s="2"/>
      <c r="P24" s="2"/>
      <c r="R24" s="11" t="s">
        <v>32</v>
      </c>
      <c r="S24" s="65">
        <v>66.47</v>
      </c>
      <c r="T24" s="16">
        <f t="shared" si="5"/>
        <v>95.587500000000006</v>
      </c>
      <c r="U24" s="113">
        <v>50.47</v>
      </c>
      <c r="V24" s="114">
        <f t="shared" si="6"/>
        <v>75.587500000000006</v>
      </c>
      <c r="W24" s="41"/>
      <c r="X24" s="11" t="s">
        <v>32</v>
      </c>
      <c r="Y24" s="4">
        <v>1.5</v>
      </c>
      <c r="Z24" s="5">
        <v>2</v>
      </c>
      <c r="AA24" s="5">
        <v>2.4</v>
      </c>
      <c r="AB24" s="6">
        <v>3.5</v>
      </c>
      <c r="AC24" s="4">
        <v>1.8</v>
      </c>
      <c r="AD24" s="5">
        <v>2.2000000000000002</v>
      </c>
      <c r="AE24" s="5">
        <v>3</v>
      </c>
      <c r="AF24" s="6">
        <v>3.5</v>
      </c>
      <c r="AG24" s="4">
        <v>2</v>
      </c>
      <c r="AH24" s="5">
        <v>2.8</v>
      </c>
      <c r="AI24" s="5">
        <v>3</v>
      </c>
      <c r="AJ24" s="6">
        <v>4</v>
      </c>
    </row>
    <row r="25" spans="2:36" ht="16" thickTop="1" x14ac:dyDescent="0.2">
      <c r="B25" s="123"/>
      <c r="C25" s="77"/>
      <c r="D25" s="77"/>
      <c r="E25" s="124"/>
      <c r="F25" s="124"/>
      <c r="G25" s="124"/>
      <c r="H25" s="125"/>
      <c r="J25" s="245" t="s">
        <v>85</v>
      </c>
      <c r="K25" s="246"/>
      <c r="L25" s="246"/>
      <c r="M25" s="246"/>
      <c r="N25" s="143"/>
      <c r="O25" s="144">
        <v>2023</v>
      </c>
      <c r="P25" s="2"/>
      <c r="R25" s="11" t="s">
        <v>33</v>
      </c>
      <c r="S25" s="65">
        <v>27.77</v>
      </c>
      <c r="T25" s="16">
        <f t="shared" si="5"/>
        <v>47.212499999999991</v>
      </c>
      <c r="U25" s="113">
        <v>17.64</v>
      </c>
      <c r="V25" s="114">
        <f t="shared" si="6"/>
        <v>34.549999999999997</v>
      </c>
      <c r="W25" s="41"/>
      <c r="X25" s="11" t="s">
        <v>33</v>
      </c>
      <c r="Y25" s="4">
        <v>1</v>
      </c>
      <c r="Z25" s="5">
        <v>1.5</v>
      </c>
      <c r="AA25" s="5">
        <v>1.8</v>
      </c>
      <c r="AB25" s="6">
        <v>2.5</v>
      </c>
      <c r="AC25" s="4">
        <v>1.2</v>
      </c>
      <c r="AD25" s="5">
        <v>1.5</v>
      </c>
      <c r="AE25" s="5">
        <v>2</v>
      </c>
      <c r="AF25" s="6">
        <v>2.4</v>
      </c>
      <c r="AG25" s="4">
        <v>0.8</v>
      </c>
      <c r="AH25" s="5">
        <v>1</v>
      </c>
      <c r="AI25" s="5">
        <v>1</v>
      </c>
      <c r="AJ25" s="6">
        <v>1.5</v>
      </c>
    </row>
    <row r="26" spans="2:36" x14ac:dyDescent="0.2">
      <c r="B26" s="126" t="s">
        <v>28</v>
      </c>
      <c r="C26" s="13" t="s">
        <v>72</v>
      </c>
      <c r="D26" s="13" t="s">
        <v>47</v>
      </c>
      <c r="E26" s="2">
        <v>1500</v>
      </c>
      <c r="F26" s="146">
        <v>0.7</v>
      </c>
      <c r="G26" s="2">
        <v>2</v>
      </c>
      <c r="H26" s="127">
        <f>E26*G26*F26</f>
        <v>2100</v>
      </c>
      <c r="J26" s="83"/>
      <c r="K26" s="79" t="s">
        <v>1</v>
      </c>
      <c r="L26" s="80" t="s">
        <v>2</v>
      </c>
      <c r="M26" s="80" t="s">
        <v>6</v>
      </c>
      <c r="N26" s="78"/>
      <c r="O26" s="84">
        <f>K4+O4</f>
        <v>1886.1109166666668</v>
      </c>
      <c r="P26" s="2"/>
      <c r="R26" s="11" t="s">
        <v>34</v>
      </c>
      <c r="S26" s="65">
        <v>51.61</v>
      </c>
      <c r="T26" s="16">
        <f t="shared" si="5"/>
        <v>77.012500000000003</v>
      </c>
      <c r="U26" s="113">
        <v>24.04</v>
      </c>
      <c r="V26" s="114">
        <f t="shared" si="6"/>
        <v>42.55</v>
      </c>
      <c r="W26" s="41"/>
      <c r="X26" s="11" t="s">
        <v>34</v>
      </c>
      <c r="Y26" s="4">
        <v>0.8</v>
      </c>
      <c r="Z26" s="5">
        <v>1.2</v>
      </c>
      <c r="AA26" s="5">
        <v>1.5</v>
      </c>
      <c r="AB26" s="5">
        <v>2</v>
      </c>
      <c r="AC26" s="4">
        <v>0.8</v>
      </c>
      <c r="AD26" s="5">
        <v>1.2</v>
      </c>
      <c r="AE26" s="5">
        <v>1.5</v>
      </c>
      <c r="AF26" s="5">
        <v>1.8</v>
      </c>
      <c r="AG26" s="4">
        <v>0.6</v>
      </c>
      <c r="AH26" s="5">
        <v>0.6</v>
      </c>
      <c r="AI26" s="5">
        <v>0.6</v>
      </c>
      <c r="AJ26" s="6">
        <v>0.6</v>
      </c>
    </row>
    <row r="27" spans="2:36" x14ac:dyDescent="0.2">
      <c r="B27" s="128"/>
      <c r="C27" s="129"/>
      <c r="D27" s="129"/>
      <c r="E27" s="130"/>
      <c r="F27" s="131"/>
      <c r="G27" s="130"/>
      <c r="H27" s="132"/>
      <c r="J27" s="85"/>
      <c r="K27" s="80"/>
      <c r="L27" s="80"/>
      <c r="M27" s="80" t="s">
        <v>7</v>
      </c>
      <c r="N27" s="78"/>
      <c r="O27" s="84">
        <f>O26+K$20</f>
        <v>3133.9685166666668</v>
      </c>
      <c r="P27" s="2"/>
      <c r="R27" s="11" t="s">
        <v>35</v>
      </c>
      <c r="S27" s="65">
        <v>37.4</v>
      </c>
      <c r="T27" s="16">
        <f t="shared" si="5"/>
        <v>59.25</v>
      </c>
      <c r="U27" s="113">
        <v>20.55</v>
      </c>
      <c r="V27" s="114">
        <f t="shared" si="6"/>
        <v>38.1875</v>
      </c>
      <c r="W27" s="41"/>
      <c r="X27" s="11" t="s">
        <v>35</v>
      </c>
      <c r="Y27" s="4">
        <v>0.8</v>
      </c>
      <c r="Z27" s="5">
        <v>1.2</v>
      </c>
      <c r="AA27" s="5">
        <v>1.5</v>
      </c>
      <c r="AB27" s="5">
        <v>2</v>
      </c>
      <c r="AC27" s="4">
        <v>0.8</v>
      </c>
      <c r="AD27" s="5">
        <v>1.2</v>
      </c>
      <c r="AE27" s="5">
        <v>1.5</v>
      </c>
      <c r="AF27" s="5">
        <v>1.8</v>
      </c>
      <c r="AG27" s="4">
        <v>0.6</v>
      </c>
      <c r="AH27" s="5">
        <v>0.6</v>
      </c>
      <c r="AI27" s="5">
        <v>0.6</v>
      </c>
      <c r="AJ27" s="6">
        <v>0.6</v>
      </c>
    </row>
    <row r="28" spans="2:36" x14ac:dyDescent="0.2">
      <c r="F28" s="42"/>
      <c r="J28" s="85"/>
      <c r="K28" s="80"/>
      <c r="L28" s="80"/>
      <c r="M28" s="80" t="s">
        <v>8</v>
      </c>
      <c r="N28" s="78"/>
      <c r="O28" s="84">
        <f>K4+P4</f>
        <v>2093.3109166666668</v>
      </c>
      <c r="P28" s="2"/>
      <c r="R28" s="11" t="s">
        <v>36</v>
      </c>
      <c r="S28" s="65">
        <v>23.76</v>
      </c>
      <c r="T28" s="16">
        <f t="shared" si="5"/>
        <v>42.2</v>
      </c>
      <c r="U28" s="113">
        <v>8.86</v>
      </c>
      <c r="V28" s="114">
        <f t="shared" si="6"/>
        <v>23.574999999999999</v>
      </c>
      <c r="W28" s="41"/>
      <c r="X28" s="11" t="s">
        <v>36</v>
      </c>
      <c r="Y28" s="4">
        <v>0.8</v>
      </c>
      <c r="Z28" s="5">
        <v>1.2</v>
      </c>
      <c r="AA28" s="5">
        <v>1.5</v>
      </c>
      <c r="AB28" s="5">
        <v>2</v>
      </c>
      <c r="AC28" s="4">
        <v>0.8</v>
      </c>
      <c r="AD28" s="5">
        <v>1.2</v>
      </c>
      <c r="AE28" s="5">
        <v>1.5</v>
      </c>
      <c r="AF28" s="5">
        <v>1.8</v>
      </c>
      <c r="AG28" s="4">
        <v>0.6</v>
      </c>
      <c r="AH28" s="5">
        <v>0.6</v>
      </c>
      <c r="AI28" s="5">
        <v>0.6</v>
      </c>
      <c r="AJ28" s="6">
        <v>0.6</v>
      </c>
    </row>
    <row r="29" spans="2:36" x14ac:dyDescent="0.2">
      <c r="J29" s="85"/>
      <c r="K29" s="80"/>
      <c r="L29" s="80"/>
      <c r="M29" s="80" t="s">
        <v>9</v>
      </c>
      <c r="N29" s="78"/>
      <c r="O29" s="84">
        <f>O28+K$20</f>
        <v>3341.1685166666671</v>
      </c>
      <c r="P29" s="2"/>
      <c r="R29" s="11" t="s">
        <v>37</v>
      </c>
      <c r="S29" s="65">
        <v>10.89</v>
      </c>
      <c r="T29" s="16">
        <f t="shared" si="5"/>
        <v>26.112500000000001</v>
      </c>
      <c r="U29" s="113">
        <v>9.57</v>
      </c>
      <c r="V29" s="114">
        <f t="shared" si="6"/>
        <v>24.462499999999999</v>
      </c>
      <c r="W29" s="41"/>
      <c r="X29" s="11" t="s">
        <v>37</v>
      </c>
      <c r="Y29" s="4">
        <v>0.8</v>
      </c>
      <c r="Z29" s="5">
        <v>1.2</v>
      </c>
      <c r="AA29" s="5">
        <v>1.5</v>
      </c>
      <c r="AB29" s="6">
        <v>2</v>
      </c>
      <c r="AC29" s="4">
        <v>0.8</v>
      </c>
      <c r="AD29" s="5">
        <v>1.2</v>
      </c>
      <c r="AE29" s="5">
        <v>1.5</v>
      </c>
      <c r="AF29" s="6">
        <v>1.8</v>
      </c>
      <c r="AG29" s="4">
        <v>0.6</v>
      </c>
      <c r="AH29" s="5">
        <v>0.6</v>
      </c>
      <c r="AI29" s="5">
        <v>0.6</v>
      </c>
      <c r="AJ29" s="6">
        <v>0.6</v>
      </c>
    </row>
    <row r="30" spans="2:36" x14ac:dyDescent="0.2">
      <c r="J30" s="85"/>
      <c r="K30" s="80"/>
      <c r="L30" s="72" t="s">
        <v>3</v>
      </c>
      <c r="M30" s="72" t="s">
        <v>6</v>
      </c>
      <c r="N30" s="73"/>
      <c r="O30" s="86">
        <f>K5+O5</f>
        <v>2615.925666666667</v>
      </c>
      <c r="P30" s="2"/>
      <c r="R30" s="11" t="s">
        <v>38</v>
      </c>
      <c r="S30" s="65">
        <v>17.579999999999998</v>
      </c>
      <c r="T30" s="16">
        <f t="shared" si="5"/>
        <v>34.474999999999994</v>
      </c>
      <c r="U30" s="113">
        <v>12.6</v>
      </c>
      <c r="V30" s="114">
        <f t="shared" si="6"/>
        <v>28.25</v>
      </c>
      <c r="W30" s="41"/>
      <c r="X30" s="11" t="s">
        <v>38</v>
      </c>
      <c r="Y30" s="4">
        <v>1</v>
      </c>
      <c r="Z30" s="5">
        <v>2</v>
      </c>
      <c r="AA30" s="5">
        <v>1.8</v>
      </c>
      <c r="AB30" s="6">
        <v>3</v>
      </c>
      <c r="AC30" s="4">
        <v>1</v>
      </c>
      <c r="AD30" s="5">
        <v>2</v>
      </c>
      <c r="AE30" s="5">
        <v>2</v>
      </c>
      <c r="AF30" s="6">
        <v>2.4</v>
      </c>
      <c r="AG30" s="4">
        <v>1</v>
      </c>
      <c r="AH30" s="5">
        <v>1.5</v>
      </c>
      <c r="AI30" s="5">
        <v>2</v>
      </c>
      <c r="AJ30" s="6">
        <v>3</v>
      </c>
    </row>
    <row r="31" spans="2:36" x14ac:dyDescent="0.2">
      <c r="J31" s="85"/>
      <c r="K31" s="80"/>
      <c r="L31" s="80"/>
      <c r="M31" s="80" t="s">
        <v>7</v>
      </c>
      <c r="N31" s="78"/>
      <c r="O31" s="84">
        <f>O30+K$20</f>
        <v>3863.7832666666673</v>
      </c>
      <c r="P31" s="2"/>
      <c r="R31" s="11" t="s">
        <v>39</v>
      </c>
      <c r="S31" s="65">
        <v>60.9</v>
      </c>
      <c r="T31" s="16">
        <f t="shared" si="5"/>
        <v>88.625</v>
      </c>
      <c r="U31" s="113">
        <v>24.96</v>
      </c>
      <c r="V31" s="114">
        <f t="shared" si="6"/>
        <v>43.7</v>
      </c>
      <c r="W31" s="41"/>
      <c r="X31" s="11" t="s">
        <v>39</v>
      </c>
      <c r="Y31" s="4">
        <v>1.5</v>
      </c>
      <c r="Z31" s="5">
        <v>2.2000000000000002</v>
      </c>
      <c r="AA31" s="5">
        <v>2.4</v>
      </c>
      <c r="AB31" s="6">
        <v>3.5</v>
      </c>
      <c r="AC31" s="4">
        <v>2</v>
      </c>
      <c r="AD31" s="5">
        <v>2.5</v>
      </c>
      <c r="AE31" s="5">
        <v>3</v>
      </c>
      <c r="AF31" s="6">
        <v>3.5</v>
      </c>
      <c r="AG31" s="4">
        <v>2</v>
      </c>
      <c r="AH31" s="5">
        <v>3</v>
      </c>
      <c r="AI31" s="5">
        <v>3.8</v>
      </c>
      <c r="AJ31" s="6">
        <v>6</v>
      </c>
    </row>
    <row r="32" spans="2:36" x14ac:dyDescent="0.2">
      <c r="J32" s="85"/>
      <c r="K32" s="80"/>
      <c r="L32" s="80"/>
      <c r="M32" s="80" t="s">
        <v>8</v>
      </c>
      <c r="N32" s="78"/>
      <c r="O32" s="84">
        <f>K5+P5</f>
        <v>2922.5256666666669</v>
      </c>
      <c r="P32" s="2"/>
      <c r="R32" s="11" t="s">
        <v>40</v>
      </c>
      <c r="S32" s="71">
        <v>73.5</v>
      </c>
      <c r="T32" s="16">
        <f t="shared" si="5"/>
        <v>104.375</v>
      </c>
      <c r="U32" s="113">
        <v>12.77</v>
      </c>
      <c r="V32" s="114">
        <f t="shared" si="6"/>
        <v>28.462499999999999</v>
      </c>
      <c r="W32" s="41"/>
      <c r="X32" s="11" t="s">
        <v>40</v>
      </c>
      <c r="Y32" s="4">
        <v>1.6</v>
      </c>
      <c r="Z32" s="5">
        <v>2.2999999999999998</v>
      </c>
      <c r="AA32" s="5">
        <v>2.6</v>
      </c>
      <c r="AB32" s="6">
        <v>4</v>
      </c>
      <c r="AC32" s="4">
        <v>2.2000000000000002</v>
      </c>
      <c r="AD32" s="5">
        <v>3</v>
      </c>
      <c r="AE32" s="5">
        <v>3.6</v>
      </c>
      <c r="AF32" s="6">
        <v>4.5</v>
      </c>
      <c r="AG32" s="4">
        <v>3</v>
      </c>
      <c r="AH32" s="5">
        <v>4</v>
      </c>
      <c r="AI32" s="5">
        <v>5.5</v>
      </c>
      <c r="AJ32" s="6">
        <v>7.5</v>
      </c>
    </row>
    <row r="33" spans="8:36" x14ac:dyDescent="0.2">
      <c r="J33" s="85"/>
      <c r="K33" s="80"/>
      <c r="L33" s="80"/>
      <c r="M33" s="80" t="s">
        <v>9</v>
      </c>
      <c r="N33" s="78"/>
      <c r="O33" s="84">
        <f>O32+K$20</f>
        <v>4170.3832666666676</v>
      </c>
      <c r="P33" s="2"/>
      <c r="R33" s="14" t="s">
        <v>43</v>
      </c>
      <c r="S33" s="17">
        <f>SUM(S21:S32)/12</f>
        <v>45.731666666666662</v>
      </c>
      <c r="T33" s="18">
        <f>SUM(T21:T32)/12</f>
        <v>69.66458333333334</v>
      </c>
      <c r="U33" s="115">
        <f>SUM(U21:U32)/12</f>
        <v>28.661666666666665</v>
      </c>
      <c r="V33" s="116">
        <f>SUM(V21:V32)/12</f>
        <v>48.327083333333327</v>
      </c>
      <c r="W33" s="19"/>
      <c r="X33" s="14" t="s">
        <v>43</v>
      </c>
      <c r="Y33" s="17">
        <v>1.2333333333333336</v>
      </c>
      <c r="Z33" s="43">
        <v>1.825</v>
      </c>
      <c r="AA33" s="43">
        <v>2.1333333333333333</v>
      </c>
      <c r="AB33" s="18">
        <v>3.0583333333333336</v>
      </c>
      <c r="AC33" s="17">
        <v>1.5166666666666666</v>
      </c>
      <c r="AD33" s="43">
        <v>2.0583333333333331</v>
      </c>
      <c r="AE33" s="43">
        <v>2.5166666666666671</v>
      </c>
      <c r="AF33" s="18">
        <v>3.0916666666666668</v>
      </c>
      <c r="AG33" s="17">
        <v>1.6416666666666666</v>
      </c>
      <c r="AH33" s="43">
        <v>2.2083333333333339</v>
      </c>
      <c r="AI33" s="43">
        <v>2.7583333333333342</v>
      </c>
      <c r="AJ33" s="18">
        <v>3.9083333333333337</v>
      </c>
    </row>
    <row r="34" spans="8:36" x14ac:dyDescent="0.2">
      <c r="J34" s="85"/>
      <c r="K34" s="80"/>
      <c r="L34" s="72" t="s">
        <v>4</v>
      </c>
      <c r="M34" s="72" t="s">
        <v>6</v>
      </c>
      <c r="N34" s="73"/>
      <c r="O34" s="86">
        <f>K6+O6</f>
        <v>3476.8784166666669</v>
      </c>
      <c r="P34" s="2"/>
      <c r="R34" s="15"/>
      <c r="S34" s="19"/>
      <c r="T34" s="19"/>
      <c r="U34" s="117"/>
      <c r="V34" s="117"/>
      <c r="W34" s="19"/>
      <c r="X34" s="163" t="s">
        <v>54</v>
      </c>
      <c r="Y34" s="36">
        <v>6</v>
      </c>
      <c r="Z34" s="2">
        <v>8</v>
      </c>
      <c r="AA34" s="2">
        <v>10</v>
      </c>
      <c r="AB34" s="2">
        <v>14</v>
      </c>
      <c r="AC34" s="2">
        <v>6</v>
      </c>
      <c r="AD34" s="2">
        <v>8</v>
      </c>
      <c r="AE34" s="2">
        <v>10</v>
      </c>
      <c r="AF34" s="2">
        <v>14</v>
      </c>
      <c r="AG34" s="2">
        <v>6</v>
      </c>
      <c r="AH34" s="2">
        <v>8</v>
      </c>
      <c r="AI34" s="2">
        <v>10</v>
      </c>
      <c r="AJ34" s="2">
        <v>14</v>
      </c>
    </row>
    <row r="35" spans="8:36" x14ac:dyDescent="0.2">
      <c r="J35" s="85"/>
      <c r="K35" s="80"/>
      <c r="L35" s="80"/>
      <c r="M35" s="80" t="s">
        <v>7</v>
      </c>
      <c r="N35" s="78"/>
      <c r="O35" s="84">
        <f>O34+K$20</f>
        <v>4724.7360166666676</v>
      </c>
      <c r="P35" s="2"/>
      <c r="R35" s="155" t="s">
        <v>45</v>
      </c>
      <c r="S35" s="167" t="s">
        <v>46</v>
      </c>
      <c r="T35" s="168">
        <f>SUM(T25:T30)/6</f>
        <v>47.710416666666674</v>
      </c>
      <c r="U35" s="118"/>
      <c r="V35" s="119">
        <f>SUM(V25:V30)/6</f>
        <v>31.929166666666664</v>
      </c>
      <c r="W35" s="5"/>
      <c r="X35" s="164" t="s">
        <v>55</v>
      </c>
      <c r="Y35" s="158">
        <v>70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8:36" x14ac:dyDescent="0.2">
      <c r="J36" s="85"/>
      <c r="K36" s="80"/>
      <c r="L36" s="80"/>
      <c r="M36" s="80" t="s">
        <v>8</v>
      </c>
      <c r="N36" s="78"/>
      <c r="O36" s="84">
        <f>K6+P6</f>
        <v>3835.278416666667</v>
      </c>
      <c r="P36" s="2"/>
      <c r="R36" s="156" t="s">
        <v>50</v>
      </c>
      <c r="S36" s="169"/>
      <c r="T36" s="66">
        <v>0.66</v>
      </c>
      <c r="U36" s="93"/>
      <c r="V36" s="120">
        <v>0.66</v>
      </c>
      <c r="W36" s="42"/>
      <c r="X36" s="165" t="s">
        <v>58</v>
      </c>
      <c r="Y36" s="159">
        <v>20</v>
      </c>
      <c r="AA36" s="13"/>
      <c r="AB36" s="13"/>
      <c r="AC36" s="13"/>
      <c r="AE36" s="13"/>
      <c r="AF36" s="13"/>
      <c r="AG36" s="13"/>
    </row>
    <row r="37" spans="8:36" x14ac:dyDescent="0.2">
      <c r="J37" s="85"/>
      <c r="K37" s="80"/>
      <c r="L37" s="80"/>
      <c r="M37" s="80" t="s">
        <v>9</v>
      </c>
      <c r="N37" s="78"/>
      <c r="O37" s="84">
        <f>O36+K$20</f>
        <v>5083.1360166666673</v>
      </c>
      <c r="P37" s="2"/>
      <c r="R37" s="157" t="s">
        <v>44</v>
      </c>
      <c r="S37" s="150"/>
      <c r="T37" s="67">
        <v>100</v>
      </c>
      <c r="U37" s="98"/>
      <c r="V37" s="121">
        <v>86</v>
      </c>
      <c r="W37" s="15"/>
      <c r="X37" s="166" t="s">
        <v>67</v>
      </c>
      <c r="Y37" s="160">
        <v>8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8:36" x14ac:dyDescent="0.2">
      <c r="J38" s="85"/>
      <c r="K38" s="80"/>
      <c r="L38" s="72" t="s">
        <v>5</v>
      </c>
      <c r="M38" s="72" t="s">
        <v>6</v>
      </c>
      <c r="N38" s="73"/>
      <c r="O38" s="86">
        <f>K7+O7</f>
        <v>4882.4052083333336</v>
      </c>
      <c r="U38" s="15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8:36" x14ac:dyDescent="0.2">
      <c r="J39" s="85"/>
      <c r="K39" s="80"/>
      <c r="L39" s="80"/>
      <c r="M39" s="80" t="s">
        <v>7</v>
      </c>
      <c r="N39" s="78"/>
      <c r="O39" s="84">
        <f>O38+K$20</f>
        <v>6130.2628083333339</v>
      </c>
      <c r="U39" s="15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8:36" x14ac:dyDescent="0.2">
      <c r="J40" s="85"/>
      <c r="K40" s="80"/>
      <c r="L40" s="80"/>
      <c r="M40" s="80" t="s">
        <v>8</v>
      </c>
      <c r="N40" s="78"/>
      <c r="O40" s="84">
        <f>K7+P7</f>
        <v>5396.2052083333338</v>
      </c>
      <c r="U40" s="15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8:36" x14ac:dyDescent="0.2">
      <c r="J41" s="85"/>
      <c r="K41" s="80"/>
      <c r="L41" s="80"/>
      <c r="M41" s="80" t="s">
        <v>9</v>
      </c>
      <c r="N41" s="78"/>
      <c r="O41" s="84">
        <f>O40+K$20</f>
        <v>6644.062808333334</v>
      </c>
      <c r="U41" s="15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8:36" x14ac:dyDescent="0.2">
      <c r="J42" s="85"/>
      <c r="K42" s="74" t="s">
        <v>12</v>
      </c>
      <c r="L42" s="75" t="s">
        <v>2</v>
      </c>
      <c r="M42" s="75" t="s">
        <v>6</v>
      </c>
      <c r="N42" s="76"/>
      <c r="O42" s="87">
        <f>K8+O8</f>
        <v>2479.4845833333338</v>
      </c>
      <c r="U42" s="15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8:36" x14ac:dyDescent="0.2">
      <c r="J43" s="85"/>
      <c r="K43" s="80"/>
      <c r="L43" s="80"/>
      <c r="M43" s="80" t="s">
        <v>7</v>
      </c>
      <c r="N43" s="78"/>
      <c r="O43" s="84">
        <f>O42+K$20</f>
        <v>3727.3421833333341</v>
      </c>
      <c r="U43" s="15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8:36" x14ac:dyDescent="0.2">
      <c r="J44" s="85"/>
      <c r="K44" s="80"/>
      <c r="L44" s="80"/>
      <c r="M44" s="80" t="s">
        <v>8</v>
      </c>
      <c r="N44" s="78"/>
      <c r="O44" s="84">
        <f>K8+P8</f>
        <v>2734.284583333334</v>
      </c>
      <c r="U44" s="15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8:36" x14ac:dyDescent="0.2">
      <c r="J45" s="85"/>
      <c r="K45" s="80"/>
      <c r="L45" s="80"/>
      <c r="M45" s="80" t="s">
        <v>9</v>
      </c>
      <c r="N45" s="78"/>
      <c r="O45" s="84">
        <f>O44+K$20</f>
        <v>3982.1421833333343</v>
      </c>
      <c r="U45" s="15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8:36" x14ac:dyDescent="0.2">
      <c r="I46" s="15"/>
      <c r="J46" s="85"/>
      <c r="K46" s="80"/>
      <c r="L46" s="72" t="s">
        <v>3</v>
      </c>
      <c r="M46" s="72" t="s">
        <v>6</v>
      </c>
      <c r="N46" s="73"/>
      <c r="O46" s="86">
        <f>K9+O9</f>
        <v>3181.2993333333334</v>
      </c>
      <c r="U46" s="15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8:36" x14ac:dyDescent="0.2">
      <c r="H47" s="15"/>
      <c r="I47" s="15"/>
      <c r="J47" s="85"/>
      <c r="K47" s="80"/>
      <c r="L47" s="80"/>
      <c r="M47" s="80" t="s">
        <v>7</v>
      </c>
      <c r="N47" s="78"/>
      <c r="O47" s="84">
        <f>O46+K$20</f>
        <v>4429.1569333333337</v>
      </c>
      <c r="U47" s="15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8:36" x14ac:dyDescent="0.2">
      <c r="H48" s="15"/>
      <c r="I48" s="13"/>
      <c r="J48" s="85"/>
      <c r="K48" s="80"/>
      <c r="L48" s="80"/>
      <c r="M48" s="80" t="s">
        <v>8</v>
      </c>
      <c r="N48" s="78"/>
      <c r="O48" s="84">
        <f>K9+P9</f>
        <v>3527.0993333333336</v>
      </c>
      <c r="U48" s="15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7:33" x14ac:dyDescent="0.2">
      <c r="H49" s="13"/>
      <c r="I49" s="19"/>
      <c r="J49" s="85"/>
      <c r="K49" s="80"/>
      <c r="L49" s="80"/>
      <c r="M49" s="80" t="s">
        <v>9</v>
      </c>
      <c r="N49" s="78"/>
      <c r="O49" s="84">
        <f>O48+K$20</f>
        <v>4774.9569333333338</v>
      </c>
      <c r="U49" s="15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7:33" x14ac:dyDescent="0.2">
      <c r="G50" s="15"/>
      <c r="H50" s="19"/>
      <c r="I50" s="19"/>
      <c r="J50" s="85"/>
      <c r="K50" s="80"/>
      <c r="L50" s="72" t="s">
        <v>4</v>
      </c>
      <c r="M50" s="72" t="s">
        <v>6</v>
      </c>
      <c r="N50" s="73"/>
      <c r="O50" s="86">
        <f>K10+O10</f>
        <v>4642.466645833334</v>
      </c>
      <c r="U50" s="15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7:33" x14ac:dyDescent="0.2">
      <c r="G51" s="15"/>
      <c r="H51" s="19"/>
      <c r="I51" s="19"/>
      <c r="J51" s="85"/>
      <c r="K51" s="80"/>
      <c r="L51" s="80"/>
      <c r="M51" s="80" t="s">
        <v>7</v>
      </c>
      <c r="N51" s="78"/>
      <c r="O51" s="84">
        <f>O50+K$20</f>
        <v>5890.3242458333343</v>
      </c>
      <c r="U51" s="15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7:33" x14ac:dyDescent="0.2">
      <c r="G52" s="15"/>
      <c r="H52" s="19"/>
      <c r="I52" s="19"/>
      <c r="J52" s="85"/>
      <c r="K52" s="80"/>
      <c r="L52" s="80"/>
      <c r="M52" s="80" t="s">
        <v>8</v>
      </c>
      <c r="N52" s="78"/>
      <c r="O52" s="84">
        <f>K10+P10</f>
        <v>5065.2666458333342</v>
      </c>
    </row>
    <row r="53" spans="7:33" x14ac:dyDescent="0.2">
      <c r="G53" s="15"/>
      <c r="H53" s="19"/>
      <c r="I53" s="19"/>
      <c r="J53" s="85"/>
      <c r="K53" s="80"/>
      <c r="L53" s="80"/>
      <c r="M53" s="80" t="s">
        <v>9</v>
      </c>
      <c r="N53" s="78"/>
      <c r="O53" s="84">
        <f>O52+K$20</f>
        <v>6313.1242458333345</v>
      </c>
    </row>
    <row r="54" spans="7:33" x14ac:dyDescent="0.2">
      <c r="G54" s="15"/>
      <c r="H54" s="19"/>
      <c r="I54" s="19"/>
      <c r="J54" s="85"/>
      <c r="K54" s="80"/>
      <c r="L54" s="72" t="s">
        <v>5</v>
      </c>
      <c r="M54" s="72" t="s">
        <v>6</v>
      </c>
      <c r="N54" s="73"/>
      <c r="O54" s="86">
        <f>K11+O11</f>
        <v>5806.7114583333341</v>
      </c>
    </row>
    <row r="55" spans="7:33" x14ac:dyDescent="0.2">
      <c r="G55" s="15"/>
      <c r="H55" s="19"/>
      <c r="I55" s="19"/>
      <c r="J55" s="85"/>
      <c r="K55" s="80"/>
      <c r="L55" s="80"/>
      <c r="M55" s="80" t="s">
        <v>7</v>
      </c>
      <c r="N55" s="78"/>
      <c r="O55" s="84">
        <f>O54+K$20</f>
        <v>7054.5690583333344</v>
      </c>
    </row>
    <row r="56" spans="7:33" x14ac:dyDescent="0.2">
      <c r="G56" s="15"/>
      <c r="H56" s="19"/>
      <c r="I56" s="19"/>
      <c r="J56" s="85"/>
      <c r="K56" s="80"/>
      <c r="L56" s="80"/>
      <c r="M56" s="80" t="s">
        <v>8</v>
      </c>
      <c r="N56" s="78"/>
      <c r="O56" s="84">
        <f>K11+P11</f>
        <v>6326.1114583333347</v>
      </c>
    </row>
    <row r="57" spans="7:33" x14ac:dyDescent="0.2">
      <c r="G57" s="15"/>
      <c r="H57" s="19"/>
      <c r="I57" s="19"/>
      <c r="J57" s="85"/>
      <c r="K57" s="80"/>
      <c r="L57" s="80"/>
      <c r="M57" s="80" t="s">
        <v>9</v>
      </c>
      <c r="N57" s="78"/>
      <c r="O57" s="84">
        <f>O56+K$20</f>
        <v>7573.9690583333349</v>
      </c>
    </row>
    <row r="58" spans="7:33" x14ac:dyDescent="0.2">
      <c r="G58" s="15"/>
      <c r="H58" s="19"/>
      <c r="I58" s="19"/>
      <c r="J58" s="85"/>
      <c r="K58" s="74" t="s">
        <v>13</v>
      </c>
      <c r="L58" s="75" t="s">
        <v>2</v>
      </c>
      <c r="M58" s="75" t="s">
        <v>6</v>
      </c>
      <c r="N58" s="76"/>
      <c r="O58" s="87">
        <f>K12+O12</f>
        <v>3092.8683333333329</v>
      </c>
    </row>
    <row r="59" spans="7:33" x14ac:dyDescent="0.2">
      <c r="G59" s="15"/>
      <c r="H59" s="19"/>
      <c r="I59" s="19"/>
      <c r="J59" s="85"/>
      <c r="K59" s="80"/>
      <c r="L59" s="80"/>
      <c r="M59" s="80" t="s">
        <v>7</v>
      </c>
      <c r="N59" s="78"/>
      <c r="O59" s="84">
        <f>O58+K$20</f>
        <v>4340.7259333333332</v>
      </c>
    </row>
    <row r="60" spans="7:33" x14ac:dyDescent="0.2">
      <c r="G60" s="15"/>
      <c r="H60" s="19"/>
      <c r="I60" s="19"/>
      <c r="J60" s="85"/>
      <c r="K60" s="80"/>
      <c r="L60" s="80"/>
      <c r="M60" s="80" t="s">
        <v>8</v>
      </c>
      <c r="N60" s="78"/>
      <c r="O60" s="84">
        <f>K12+P12</f>
        <v>3368.6683333333331</v>
      </c>
    </row>
    <row r="61" spans="7:33" x14ac:dyDescent="0.2">
      <c r="G61" s="15"/>
      <c r="H61" s="19"/>
      <c r="I61" s="19"/>
      <c r="J61" s="85"/>
      <c r="K61" s="80"/>
      <c r="L61" s="80"/>
      <c r="M61" s="80" t="s">
        <v>9</v>
      </c>
      <c r="N61" s="78"/>
      <c r="O61" s="84">
        <f>O60+K$20</f>
        <v>4616.5259333333333</v>
      </c>
    </row>
    <row r="62" spans="7:33" x14ac:dyDescent="0.2">
      <c r="G62" s="15"/>
      <c r="H62" s="19"/>
      <c r="I62" s="46"/>
      <c r="J62" s="85"/>
      <c r="K62" s="80"/>
      <c r="L62" s="72" t="s">
        <v>3</v>
      </c>
      <c r="M62" s="72" t="s">
        <v>6</v>
      </c>
      <c r="N62" s="73"/>
      <c r="O62" s="86">
        <f>K13+O13</f>
        <v>4424.518</v>
      </c>
    </row>
    <row r="63" spans="7:33" x14ac:dyDescent="0.2">
      <c r="G63" s="46"/>
      <c r="H63" s="46"/>
      <c r="I63" s="47"/>
      <c r="J63" s="85"/>
      <c r="K63" s="80"/>
      <c r="L63" s="80"/>
      <c r="M63" s="80" t="s">
        <v>7</v>
      </c>
      <c r="N63" s="78"/>
      <c r="O63" s="84">
        <f>O62+K$20</f>
        <v>5672.3756000000003</v>
      </c>
    </row>
    <row r="64" spans="7:33" x14ac:dyDescent="0.2">
      <c r="G64" s="47"/>
      <c r="H64" s="47"/>
      <c r="I64" s="46"/>
      <c r="J64" s="85"/>
      <c r="K64" s="80"/>
      <c r="L64" s="80"/>
      <c r="M64" s="80" t="s">
        <v>8</v>
      </c>
      <c r="N64" s="78"/>
      <c r="O64" s="84">
        <f>K13+P13</f>
        <v>4795.5180000000009</v>
      </c>
    </row>
    <row r="65" spans="7:15" x14ac:dyDescent="0.2">
      <c r="G65" s="46"/>
      <c r="H65" s="46"/>
      <c r="J65" s="85"/>
      <c r="K65" s="80"/>
      <c r="L65" s="80"/>
      <c r="M65" s="80" t="s">
        <v>9</v>
      </c>
      <c r="N65" s="78"/>
      <c r="O65" s="84">
        <f>O64+K$20</f>
        <v>6043.3756000000012</v>
      </c>
    </row>
    <row r="66" spans="7:15" x14ac:dyDescent="0.2">
      <c r="J66" s="85"/>
      <c r="K66" s="80"/>
      <c r="L66" s="72" t="s">
        <v>4</v>
      </c>
      <c r="M66" s="72" t="s">
        <v>6</v>
      </c>
      <c r="N66" s="73"/>
      <c r="O66" s="86">
        <f>K14+O14</f>
        <v>6109.0901666666678</v>
      </c>
    </row>
    <row r="67" spans="7:15" x14ac:dyDescent="0.2">
      <c r="J67" s="85"/>
      <c r="K67" s="80"/>
      <c r="L67" s="80"/>
      <c r="M67" s="80" t="s">
        <v>7</v>
      </c>
      <c r="N67" s="78"/>
      <c r="O67" s="84">
        <f>O66+K$20</f>
        <v>7356.947766666668</v>
      </c>
    </row>
    <row r="68" spans="7:15" x14ac:dyDescent="0.2">
      <c r="J68" s="85"/>
      <c r="K68" s="80"/>
      <c r="L68" s="80"/>
      <c r="M68" s="80" t="s">
        <v>8</v>
      </c>
      <c r="N68" s="78"/>
      <c r="O68" s="84">
        <f>K14+P14</f>
        <v>6572.4901666666683</v>
      </c>
    </row>
    <row r="69" spans="7:15" x14ac:dyDescent="0.2">
      <c r="J69" s="85"/>
      <c r="K69" s="80"/>
      <c r="L69" s="80"/>
      <c r="M69" s="80" t="s">
        <v>9</v>
      </c>
      <c r="N69" s="78"/>
      <c r="O69" s="84">
        <f>O68+K$20</f>
        <v>7820.3477666666686</v>
      </c>
    </row>
    <row r="70" spans="7:15" x14ac:dyDescent="0.2">
      <c r="J70" s="85"/>
      <c r="K70" s="80"/>
      <c r="L70" s="72" t="s">
        <v>5</v>
      </c>
      <c r="M70" s="72" t="s">
        <v>6</v>
      </c>
      <c r="N70" s="73"/>
      <c r="O70" s="86">
        <f>K15+O15</f>
        <v>6805.9906250000004</v>
      </c>
    </row>
    <row r="71" spans="7:15" x14ac:dyDescent="0.2">
      <c r="J71" s="85"/>
      <c r="K71" s="80"/>
      <c r="L71" s="80"/>
      <c r="M71" s="80" t="s">
        <v>7</v>
      </c>
      <c r="N71" s="78"/>
      <c r="O71" s="84">
        <f>O70+K$20</f>
        <v>8053.8482250000006</v>
      </c>
    </row>
    <row r="72" spans="7:15" x14ac:dyDescent="0.2">
      <c r="J72" s="85"/>
      <c r="K72" s="80"/>
      <c r="L72" s="80"/>
      <c r="M72" s="80" t="s">
        <v>8</v>
      </c>
      <c r="N72" s="78"/>
      <c r="O72" s="84">
        <f>K15+P15</f>
        <v>8731.9239583333347</v>
      </c>
    </row>
    <row r="73" spans="7:15" ht="15" thickBot="1" x14ac:dyDescent="0.25">
      <c r="J73" s="88"/>
      <c r="K73" s="89"/>
      <c r="L73" s="89"/>
      <c r="M73" s="89" t="s">
        <v>9</v>
      </c>
      <c r="N73" s="90"/>
      <c r="O73" s="91">
        <f>O72+K$20</f>
        <v>9979.7815583333359</v>
      </c>
    </row>
    <row r="74" spans="7:15" ht="15" thickTop="1" x14ac:dyDescent="0.2"/>
  </sheetData>
  <mergeCells count="17">
    <mergeCell ref="J17:K18"/>
    <mergeCell ref="L17:M18"/>
    <mergeCell ref="R5:S5"/>
    <mergeCell ref="R6:S6"/>
    <mergeCell ref="R7:S7"/>
    <mergeCell ref="R8:S8"/>
    <mergeCell ref="J1:K1"/>
    <mergeCell ref="L1:M1"/>
    <mergeCell ref="O1:P1"/>
    <mergeCell ref="R3:S3"/>
    <mergeCell ref="R4:S4"/>
    <mergeCell ref="U19:V19"/>
    <mergeCell ref="Y19:AB19"/>
    <mergeCell ref="AC19:AF19"/>
    <mergeCell ref="AG19:AJ19"/>
    <mergeCell ref="J25:M25"/>
    <mergeCell ref="S19:T19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70CF-67D3-40F0-AC5C-1368ED19203E}">
  <dimension ref="A1:J27"/>
  <sheetViews>
    <sheetView workbookViewId="0">
      <selection activeCell="F28" sqref="F28"/>
    </sheetView>
  </sheetViews>
  <sheetFormatPr baseColWidth="10" defaultColWidth="8.83203125" defaultRowHeight="15" x14ac:dyDescent="0.2"/>
  <cols>
    <col min="1" max="1" width="15.6640625" customWidth="1"/>
    <col min="2" max="6" width="15.6640625" style="1" customWidth="1"/>
    <col min="7" max="7" width="18.5" customWidth="1"/>
    <col min="8" max="8" width="19.5" customWidth="1"/>
    <col min="9" max="9" width="18.6640625" customWidth="1"/>
    <col min="10" max="10" width="21" customWidth="1"/>
  </cols>
  <sheetData>
    <row r="1" spans="1:10" ht="16" thickBot="1" x14ac:dyDescent="0.25">
      <c r="B1" s="7" t="s">
        <v>14</v>
      </c>
      <c r="C1" s="7" t="s">
        <v>14</v>
      </c>
      <c r="D1" s="7" t="s">
        <v>15</v>
      </c>
      <c r="E1" s="7" t="s">
        <v>16</v>
      </c>
      <c r="F1" s="7"/>
      <c r="G1" s="140" t="s">
        <v>16</v>
      </c>
      <c r="H1" s="140">
        <v>2023</v>
      </c>
      <c r="I1" s="140">
        <v>2024</v>
      </c>
      <c r="J1" s="140">
        <v>2025</v>
      </c>
    </row>
    <row r="2" spans="1:10" ht="16" thickBot="1" x14ac:dyDescent="0.25">
      <c r="A2" s="137">
        <v>44927</v>
      </c>
      <c r="B2" s="133">
        <v>104.43</v>
      </c>
      <c r="C2" s="133">
        <v>92.58</v>
      </c>
      <c r="D2" s="3">
        <v>70.38</v>
      </c>
      <c r="E2" s="136">
        <v>70.38</v>
      </c>
      <c r="F2" s="136"/>
      <c r="G2" s="141" t="s">
        <v>29</v>
      </c>
      <c r="H2" s="141" t="s">
        <v>86</v>
      </c>
      <c r="I2" s="141" t="s">
        <v>87</v>
      </c>
      <c r="J2" s="141" t="s">
        <v>88</v>
      </c>
    </row>
    <row r="3" spans="1:10" ht="16" thickBot="1" x14ac:dyDescent="0.25">
      <c r="A3" s="134" t="s">
        <v>73</v>
      </c>
      <c r="B3" s="133">
        <v>102.79</v>
      </c>
      <c r="C3" s="133">
        <v>82.54</v>
      </c>
      <c r="D3" s="3">
        <v>52.03</v>
      </c>
      <c r="E3" s="8">
        <v>52.03</v>
      </c>
      <c r="F3" s="8"/>
      <c r="G3" s="141" t="s">
        <v>30</v>
      </c>
      <c r="H3" s="141" t="s">
        <v>89</v>
      </c>
      <c r="I3" s="141" t="s">
        <v>90</v>
      </c>
      <c r="J3" s="141" t="s">
        <v>91</v>
      </c>
    </row>
    <row r="4" spans="1:10" ht="16" thickBot="1" x14ac:dyDescent="0.25">
      <c r="A4" s="134" t="s">
        <v>74</v>
      </c>
      <c r="B4" s="133">
        <v>91.79</v>
      </c>
      <c r="C4" s="133">
        <v>80.62</v>
      </c>
      <c r="D4" s="3">
        <v>56.49</v>
      </c>
      <c r="E4" s="136">
        <v>56.49</v>
      </c>
      <c r="F4" s="136"/>
      <c r="G4" s="141" t="s">
        <v>31</v>
      </c>
      <c r="H4" s="141" t="s">
        <v>92</v>
      </c>
      <c r="I4" s="141" t="s">
        <v>93</v>
      </c>
      <c r="J4" s="141" t="s">
        <v>94</v>
      </c>
    </row>
    <row r="5" spans="1:10" ht="16" thickBot="1" x14ac:dyDescent="0.25">
      <c r="A5" s="134" t="s">
        <v>75</v>
      </c>
      <c r="B5" s="133">
        <v>73.87</v>
      </c>
      <c r="C5" s="133">
        <v>68.7</v>
      </c>
      <c r="D5" s="3">
        <v>66.47</v>
      </c>
      <c r="E5" s="136">
        <v>66.47</v>
      </c>
      <c r="F5" s="136"/>
      <c r="G5" s="141" t="s">
        <v>32</v>
      </c>
      <c r="H5" s="141" t="s">
        <v>95</v>
      </c>
      <c r="I5" s="141" t="s">
        <v>96</v>
      </c>
      <c r="J5" s="141" t="s">
        <v>97</v>
      </c>
    </row>
    <row r="6" spans="1:10" ht="16" thickBot="1" x14ac:dyDescent="0.25">
      <c r="A6" s="134" t="s">
        <v>76</v>
      </c>
      <c r="B6" s="133">
        <v>73.5</v>
      </c>
      <c r="C6" s="133">
        <v>39.020000000000003</v>
      </c>
      <c r="D6" s="3">
        <v>27.84</v>
      </c>
      <c r="E6" s="136">
        <v>27.77</v>
      </c>
      <c r="F6" s="136"/>
      <c r="G6" s="142" t="s">
        <v>33</v>
      </c>
      <c r="H6" s="142" t="s">
        <v>98</v>
      </c>
      <c r="I6" s="142" t="s">
        <v>99</v>
      </c>
      <c r="J6" s="142" t="s">
        <v>100</v>
      </c>
    </row>
    <row r="7" spans="1:10" ht="16" thickBot="1" x14ac:dyDescent="0.25">
      <c r="A7" s="134" t="s">
        <v>77</v>
      </c>
      <c r="B7" s="133">
        <v>103.39</v>
      </c>
      <c r="C7" s="133">
        <v>53.06</v>
      </c>
      <c r="D7" s="3">
        <v>51.61</v>
      </c>
      <c r="E7" s="136">
        <v>51.61</v>
      </c>
      <c r="F7" s="136"/>
      <c r="G7" s="141" t="s">
        <v>34</v>
      </c>
      <c r="H7" s="141" t="s">
        <v>101</v>
      </c>
      <c r="I7" s="141" t="s">
        <v>102</v>
      </c>
      <c r="J7" s="141" t="s">
        <v>103</v>
      </c>
    </row>
    <row r="8" spans="1:10" ht="16" thickBot="1" x14ac:dyDescent="0.25">
      <c r="A8" s="134" t="s">
        <v>78</v>
      </c>
      <c r="B8" s="133">
        <v>41.76</v>
      </c>
      <c r="C8" s="133">
        <v>37.65</v>
      </c>
      <c r="D8" s="8">
        <v>37.4</v>
      </c>
      <c r="E8" s="136">
        <v>37.4</v>
      </c>
      <c r="F8" s="136"/>
      <c r="G8" s="141" t="s">
        <v>35</v>
      </c>
      <c r="H8" s="141" t="s">
        <v>104</v>
      </c>
      <c r="I8" s="141" t="s">
        <v>105</v>
      </c>
      <c r="J8" s="141" t="s">
        <v>106</v>
      </c>
    </row>
    <row r="9" spans="1:10" ht="16" thickBot="1" x14ac:dyDescent="0.25">
      <c r="A9" s="134" t="s">
        <v>79</v>
      </c>
      <c r="B9" s="133">
        <v>49.54</v>
      </c>
      <c r="C9" s="133">
        <v>36.96</v>
      </c>
      <c r="D9" s="3">
        <v>23.76</v>
      </c>
      <c r="E9" s="136">
        <v>23.76</v>
      </c>
      <c r="F9" s="136"/>
      <c r="G9" s="141" t="s">
        <v>36</v>
      </c>
      <c r="H9" s="141" t="s">
        <v>107</v>
      </c>
      <c r="I9" s="141" t="s">
        <v>108</v>
      </c>
      <c r="J9" s="141" t="s">
        <v>109</v>
      </c>
    </row>
    <row r="10" spans="1:10" ht="16" thickBot="1" x14ac:dyDescent="0.25">
      <c r="A10" s="134" t="s">
        <v>80</v>
      </c>
      <c r="B10" s="133">
        <v>51.33</v>
      </c>
      <c r="C10" s="133">
        <v>24.32</v>
      </c>
      <c r="D10" s="3">
        <v>10.89</v>
      </c>
      <c r="E10" s="136">
        <v>10.89</v>
      </c>
      <c r="F10" s="136"/>
      <c r="G10" s="141" t="s">
        <v>37</v>
      </c>
      <c r="H10" s="141" t="s">
        <v>110</v>
      </c>
      <c r="I10" s="141" t="s">
        <v>111</v>
      </c>
      <c r="J10" s="141" t="s">
        <v>112</v>
      </c>
    </row>
    <row r="11" spans="1:10" ht="16" thickBot="1" x14ac:dyDescent="0.25">
      <c r="A11" s="134" t="s">
        <v>81</v>
      </c>
      <c r="B11" s="133">
        <v>35.950000000000003</v>
      </c>
      <c r="C11" s="133">
        <v>33.06</v>
      </c>
      <c r="D11" s="3">
        <v>17.579999999999998</v>
      </c>
      <c r="E11" s="136">
        <v>17.579999999999998</v>
      </c>
      <c r="F11" s="136"/>
      <c r="G11" s="141" t="s">
        <v>38</v>
      </c>
      <c r="H11" s="141" t="s">
        <v>113</v>
      </c>
      <c r="I11" s="141" t="s">
        <v>114</v>
      </c>
      <c r="J11" s="141" t="s">
        <v>115</v>
      </c>
    </row>
    <row r="12" spans="1:10" ht="16" thickBot="1" x14ac:dyDescent="0.25">
      <c r="A12" s="134" t="s">
        <v>82</v>
      </c>
      <c r="B12" s="133">
        <v>84.72</v>
      </c>
      <c r="C12" s="133">
        <v>82.13</v>
      </c>
      <c r="D12" s="3">
        <v>60.9</v>
      </c>
      <c r="E12" s="136">
        <v>60.9</v>
      </c>
      <c r="F12" s="136"/>
      <c r="G12" s="141" t="s">
        <v>39</v>
      </c>
      <c r="H12" s="141" t="s">
        <v>116</v>
      </c>
      <c r="I12" s="141" t="s">
        <v>117</v>
      </c>
      <c r="J12" s="141" t="s">
        <v>115</v>
      </c>
    </row>
    <row r="13" spans="1:10" ht="16" thickBot="1" x14ac:dyDescent="0.25">
      <c r="A13" s="135" t="s">
        <v>83</v>
      </c>
      <c r="B13" s="133">
        <v>81.39</v>
      </c>
      <c r="C13" s="133">
        <v>80.290000000000006</v>
      </c>
      <c r="D13" s="3">
        <v>73.5</v>
      </c>
      <c r="E13" s="136">
        <v>73.5</v>
      </c>
      <c r="F13" s="136"/>
      <c r="G13" s="141" t="s">
        <v>40</v>
      </c>
      <c r="H13" s="141" t="s">
        <v>118</v>
      </c>
      <c r="I13" s="141" t="s">
        <v>119</v>
      </c>
      <c r="J13" s="141" t="s">
        <v>115</v>
      </c>
    </row>
    <row r="14" spans="1:10" ht="16" thickBot="1" x14ac:dyDescent="0.25">
      <c r="A14" s="137">
        <v>45292</v>
      </c>
      <c r="B14" s="136">
        <v>84.02</v>
      </c>
      <c r="C14" s="136">
        <v>80.3</v>
      </c>
      <c r="D14" s="3">
        <v>61.2</v>
      </c>
      <c r="E14" s="136">
        <v>61.08</v>
      </c>
      <c r="F14" s="136"/>
    </row>
    <row r="15" spans="1:10" ht="16" thickBot="1" x14ac:dyDescent="0.25">
      <c r="A15" s="134" t="s">
        <v>73</v>
      </c>
      <c r="B15" s="136">
        <v>55.42</v>
      </c>
      <c r="C15" s="136">
        <v>50.34</v>
      </c>
      <c r="D15" s="3">
        <v>44.94</v>
      </c>
      <c r="E15" s="136">
        <v>44.79</v>
      </c>
      <c r="F15" s="136"/>
      <c r="G15" s="140" t="s">
        <v>15</v>
      </c>
      <c r="H15" s="140">
        <v>2023</v>
      </c>
      <c r="I15" s="140">
        <v>2024</v>
      </c>
      <c r="J15" s="140">
        <v>2025</v>
      </c>
    </row>
    <row r="16" spans="1:10" ht="16" thickBot="1" x14ac:dyDescent="0.25">
      <c r="A16" s="134" t="s">
        <v>74</v>
      </c>
      <c r="B16" s="136">
        <v>63.36</v>
      </c>
      <c r="C16" s="136">
        <v>59.47</v>
      </c>
      <c r="D16" s="3">
        <v>56.61</v>
      </c>
      <c r="E16" s="136">
        <v>56.61</v>
      </c>
      <c r="F16" s="136"/>
      <c r="G16" s="141" t="s">
        <v>29</v>
      </c>
      <c r="H16" s="141" t="s">
        <v>120</v>
      </c>
      <c r="I16" s="141" t="s">
        <v>121</v>
      </c>
      <c r="J16" s="141" t="s">
        <v>122</v>
      </c>
    </row>
    <row r="17" spans="1:10" ht="16" thickBot="1" x14ac:dyDescent="0.25">
      <c r="A17" s="134" t="s">
        <v>75</v>
      </c>
      <c r="B17" s="136">
        <v>62.45</v>
      </c>
      <c r="C17" s="136">
        <v>56.31</v>
      </c>
      <c r="D17" s="3">
        <v>50.79</v>
      </c>
      <c r="E17" s="136">
        <v>50.47</v>
      </c>
      <c r="F17" s="136"/>
      <c r="G17" s="142" t="s">
        <v>30</v>
      </c>
      <c r="H17" s="142" t="s">
        <v>123</v>
      </c>
      <c r="I17" s="142" t="s">
        <v>124</v>
      </c>
      <c r="J17" s="142" t="s">
        <v>125</v>
      </c>
    </row>
    <row r="18" spans="1:10" ht="16" thickBot="1" x14ac:dyDescent="0.25">
      <c r="A18" s="134" t="s">
        <v>76</v>
      </c>
      <c r="B18" s="136">
        <v>50.58</v>
      </c>
      <c r="C18" s="136">
        <v>23.71</v>
      </c>
      <c r="D18" s="3">
        <v>17.64</v>
      </c>
      <c r="E18" s="136">
        <v>17.64</v>
      </c>
      <c r="F18" s="136"/>
      <c r="G18" s="141" t="s">
        <v>31</v>
      </c>
      <c r="H18" s="141" t="s">
        <v>126</v>
      </c>
      <c r="I18" s="141" t="s">
        <v>127</v>
      </c>
      <c r="J18" s="141" t="s">
        <v>128</v>
      </c>
    </row>
    <row r="19" spans="1:10" ht="16" thickBot="1" x14ac:dyDescent="0.25">
      <c r="A19" s="134" t="s">
        <v>77</v>
      </c>
      <c r="B19" s="136">
        <v>62.7</v>
      </c>
      <c r="C19" s="136">
        <v>27.27</v>
      </c>
      <c r="D19" s="3">
        <v>24.04</v>
      </c>
      <c r="E19" s="136">
        <v>24.04</v>
      </c>
      <c r="F19" s="136"/>
      <c r="G19" s="141" t="s">
        <v>32</v>
      </c>
      <c r="H19" s="141" t="s">
        <v>129</v>
      </c>
      <c r="I19" s="141" t="s">
        <v>130</v>
      </c>
      <c r="J19" s="141" t="s">
        <v>131</v>
      </c>
    </row>
    <row r="20" spans="1:10" ht="16" thickBot="1" x14ac:dyDescent="0.25">
      <c r="A20" s="134" t="s">
        <v>78</v>
      </c>
      <c r="B20" s="136">
        <v>43.34</v>
      </c>
      <c r="C20" s="136">
        <v>20.72</v>
      </c>
      <c r="D20" s="3">
        <v>20.49</v>
      </c>
      <c r="E20" s="136">
        <v>20.55</v>
      </c>
      <c r="F20" s="136"/>
      <c r="G20" s="141" t="s">
        <v>33</v>
      </c>
      <c r="H20" s="141" t="s">
        <v>132</v>
      </c>
      <c r="I20" s="141" t="s">
        <v>133</v>
      </c>
      <c r="J20" s="141" t="s">
        <v>134</v>
      </c>
    </row>
    <row r="21" spans="1:10" ht="16" thickBot="1" x14ac:dyDescent="0.25">
      <c r="A21" s="134" t="s">
        <v>79</v>
      </c>
      <c r="B21" s="136">
        <v>45.93</v>
      </c>
      <c r="C21" s="136">
        <v>8.5399999999999991</v>
      </c>
      <c r="D21" s="3">
        <v>8.51</v>
      </c>
      <c r="E21" s="136">
        <v>8.86</v>
      </c>
      <c r="F21" s="136"/>
      <c r="G21" s="141" t="s">
        <v>34</v>
      </c>
      <c r="H21" s="141" t="s">
        <v>135</v>
      </c>
      <c r="I21" s="141" t="s">
        <v>136</v>
      </c>
      <c r="J21" s="141" t="s">
        <v>137</v>
      </c>
    </row>
    <row r="22" spans="1:10" ht="16" thickBot="1" x14ac:dyDescent="0.25">
      <c r="A22" s="134" t="s">
        <v>80</v>
      </c>
      <c r="B22" s="136">
        <v>30.67</v>
      </c>
      <c r="C22" s="136">
        <v>16.440000000000001</v>
      </c>
      <c r="D22" s="3">
        <v>10.89</v>
      </c>
      <c r="E22" s="136">
        <v>9.57</v>
      </c>
      <c r="F22" s="136"/>
      <c r="G22" s="141" t="s">
        <v>35</v>
      </c>
      <c r="H22" s="141" t="s">
        <v>138</v>
      </c>
      <c r="I22" s="141" t="s">
        <v>139</v>
      </c>
      <c r="J22" s="141" t="s">
        <v>140</v>
      </c>
    </row>
    <row r="23" spans="1:10" ht="16" thickBot="1" x14ac:dyDescent="0.25">
      <c r="A23" s="134" t="s">
        <v>81</v>
      </c>
      <c r="B23" s="136">
        <v>30.15</v>
      </c>
      <c r="C23" s="136">
        <v>22.97</v>
      </c>
      <c r="D23" s="3">
        <v>13.52</v>
      </c>
      <c r="E23" s="136">
        <v>12.6</v>
      </c>
      <c r="F23" s="136"/>
      <c r="G23" s="141" t="s">
        <v>36</v>
      </c>
      <c r="H23" s="141" t="s">
        <v>107</v>
      </c>
      <c r="I23" s="141" t="s">
        <v>141</v>
      </c>
      <c r="J23" s="141" t="s">
        <v>142</v>
      </c>
    </row>
    <row r="24" spans="1:10" ht="16" thickBot="1" x14ac:dyDescent="0.25">
      <c r="A24" s="134" t="s">
        <v>82</v>
      </c>
      <c r="B24" s="136">
        <v>84.65</v>
      </c>
      <c r="C24" s="136">
        <v>66.95</v>
      </c>
      <c r="D24" s="3">
        <v>18.09</v>
      </c>
      <c r="E24" s="136">
        <v>24.96</v>
      </c>
      <c r="F24" s="136"/>
      <c r="G24" s="141" t="s">
        <v>37</v>
      </c>
      <c r="H24" s="141" t="s">
        <v>143</v>
      </c>
      <c r="I24" s="141" t="s">
        <v>144</v>
      </c>
      <c r="J24" s="141" t="s">
        <v>145</v>
      </c>
    </row>
    <row r="25" spans="1:10" ht="16" thickBot="1" x14ac:dyDescent="0.25">
      <c r="A25" s="134" t="s">
        <v>83</v>
      </c>
      <c r="B25" s="136">
        <v>70.77</v>
      </c>
      <c r="C25" s="136">
        <v>59.57</v>
      </c>
      <c r="D25" s="3">
        <v>11.35</v>
      </c>
      <c r="E25" s="8">
        <v>12.77</v>
      </c>
      <c r="F25" s="8"/>
      <c r="G25" s="141" t="s">
        <v>38</v>
      </c>
      <c r="H25" s="141" t="s">
        <v>146</v>
      </c>
      <c r="I25" s="141" t="s">
        <v>147</v>
      </c>
      <c r="J25" s="141" t="s">
        <v>115</v>
      </c>
    </row>
    <row r="26" spans="1:10" ht="16" thickBot="1" x14ac:dyDescent="0.25">
      <c r="G26" s="141" t="s">
        <v>39</v>
      </c>
      <c r="H26" s="141" t="s">
        <v>148</v>
      </c>
      <c r="I26" s="141" t="s">
        <v>149</v>
      </c>
      <c r="J26" s="141" t="s">
        <v>115</v>
      </c>
    </row>
    <row r="27" spans="1:10" ht="16" thickBot="1" x14ac:dyDescent="0.25">
      <c r="G27" s="141" t="s">
        <v>40</v>
      </c>
      <c r="H27" s="141" t="s">
        <v>150</v>
      </c>
      <c r="I27" s="141" t="s">
        <v>151</v>
      </c>
      <c r="J27" s="141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5407-3F07-4B83-B1F4-8EEDCF59DF11}">
  <dimension ref="A3:F7"/>
  <sheetViews>
    <sheetView workbookViewId="0">
      <selection activeCell="B13" sqref="B13"/>
    </sheetView>
  </sheetViews>
  <sheetFormatPr baseColWidth="10" defaultColWidth="8.83203125" defaultRowHeight="15" x14ac:dyDescent="0.2"/>
  <sheetData>
    <row r="3" spans="1:6" x14ac:dyDescent="0.2">
      <c r="A3" s="13"/>
      <c r="B3" s="145" t="s">
        <v>161</v>
      </c>
      <c r="C3" s="2" t="s">
        <v>0</v>
      </c>
      <c r="D3" s="42" t="s">
        <v>14</v>
      </c>
      <c r="E3" s="2" t="s">
        <v>15</v>
      </c>
      <c r="F3" s="42" t="s">
        <v>16</v>
      </c>
    </row>
    <row r="4" spans="1:6" x14ac:dyDescent="0.2">
      <c r="A4" s="13" t="s">
        <v>163</v>
      </c>
      <c r="B4" t="s">
        <v>162</v>
      </c>
      <c r="C4" s="2"/>
      <c r="D4" s="2"/>
      <c r="E4" s="2"/>
      <c r="F4" s="2"/>
    </row>
    <row r="5" spans="1:6" x14ac:dyDescent="0.2">
      <c r="A5" s="13" t="s">
        <v>164</v>
      </c>
      <c r="B5" s="13"/>
      <c r="C5" s="2"/>
      <c r="D5" s="2"/>
      <c r="E5" s="2"/>
      <c r="F5" s="2"/>
    </row>
    <row r="6" spans="1:6" x14ac:dyDescent="0.2">
      <c r="A6" s="13" t="s">
        <v>165</v>
      </c>
      <c r="B6" s="13"/>
      <c r="C6" s="2"/>
      <c r="D6" s="2"/>
      <c r="E6" s="2"/>
      <c r="F6" s="2"/>
    </row>
    <row r="7" spans="1:6" x14ac:dyDescent="0.2">
      <c r="A7" s="13"/>
      <c r="B7" s="13"/>
      <c r="C7" s="2"/>
      <c r="D7" s="2"/>
      <c r="E7" s="2"/>
      <c r="F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172b14-e4d5-4f44-8000-04ef2391d271">
      <Terms xmlns="http://schemas.microsoft.com/office/infopath/2007/PartnerControls"/>
    </lcf76f155ced4ddcb4097134ff3c332f>
    <TaxCatchAll xmlns="9433f623-b200-4f76-bd01-d85e9013cdd2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7EFF81C2910414D95FDE173E3DAFE66" ma:contentTypeVersion="13" ma:contentTypeDescription="Skapa ett nytt dokument." ma:contentTypeScope="" ma:versionID="d04895fb23a2a1e75c600c6a9c69adac">
  <xsd:schema xmlns:xsd="http://www.w3.org/2001/XMLSchema" xmlns:xs="http://www.w3.org/2001/XMLSchema" xmlns:p="http://schemas.microsoft.com/office/2006/metadata/properties" xmlns:ns2="9433f623-b200-4f76-bd01-d85e9013cdd2" xmlns:ns3="8d172b14-e4d5-4f44-8000-04ef2391d271" targetNamespace="http://schemas.microsoft.com/office/2006/metadata/properties" ma:root="true" ma:fieldsID="26200df508f17a2c9e743906e1147f77" ns2:_="" ns3:_="">
    <xsd:import namespace="9433f623-b200-4f76-bd01-d85e9013cdd2"/>
    <xsd:import namespace="8d172b14-e4d5-4f44-8000-04ef2391d27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33f623-b200-4f76-bd01-d85e9013cdd2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e912d702-0be0-4bd0-806c-2647f992e271}" ma:internalName="TaxCatchAll" ma:showField="CatchAllData" ma:web="9433f623-b200-4f76-bd01-d85e9013c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72b14-e4d5-4f44-8000-04ef2391d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eringar" ma:readOnly="false" ma:fieldId="{5cf76f15-5ced-4ddc-b409-7134ff3c332f}" ma:taxonomyMulti="true" ma:sspId="a8d282b6-22ca-4aea-b4f7-14423c071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2085BF-F3EC-420D-9D39-F6EEBA430413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d172b14-e4d5-4f44-8000-04ef2391d271"/>
    <ds:schemaRef ds:uri="http://www.w3.org/XML/1998/namespace"/>
    <ds:schemaRef ds:uri="9433f623-b200-4f76-bd01-d85e9013cdd2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89E7882-5BA5-4BA2-9D49-DD44BA95D6C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3F22675-AA8B-4440-BD1C-13228B4034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33f623-b200-4f76-bd01-d85e9013cdd2"/>
    <ds:schemaRef ds:uri="8d172b14-e4d5-4f44-8000-04ef2391d2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089E9B-6217-4DCD-97B1-53AE0B4D2C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7</vt:i4>
      </vt:variant>
    </vt:vector>
  </HeadingPairs>
  <TitlesOfParts>
    <vt:vector size="7" baseType="lpstr">
      <vt:lpstr>Summering</vt:lpstr>
      <vt:lpstr>SE4</vt:lpstr>
      <vt:lpstr>SE3</vt:lpstr>
      <vt:lpstr>SE2</vt:lpstr>
      <vt:lpstr>SE1</vt:lpstr>
      <vt:lpstr>Elpriser</vt:lpstr>
      <vt:lpstr>Används ej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Ola Persson</dc:creator>
  <cp:lastModifiedBy>Stefan Lundström</cp:lastModifiedBy>
  <dcterms:created xsi:type="dcterms:W3CDTF">2025-10-16T11:01:20Z</dcterms:created>
  <dcterms:modified xsi:type="dcterms:W3CDTF">2026-04-13T06:47:59Z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0x01010027EFF81C2910414D95FDE173E3DAFE66</vt:lpwstr>
  </property>
  <property fmtid="{D5CDD505-2E9C-101B-9397-08002B2CF9AE}" pid="3" name="MediaServiceImageTags">
    <vt:lpwstr/>
  </property>
</Properties>
</file>